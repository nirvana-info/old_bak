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8675" windowHeight="7935"/>
  </bookViews>
  <sheets>
    <sheet name="第一周（3-26～4-7）" sheetId="20" r:id="rId1"/>
    <sheet name="Sheet2" sheetId="17" r:id="rId2"/>
  </sheets>
  <calcPr calcId="145621"/>
</workbook>
</file>

<file path=xl/calcChain.xml><?xml version="1.0" encoding="utf-8"?>
<calcChain xmlns="http://schemas.openxmlformats.org/spreadsheetml/2006/main">
  <c r="I33" i="20" l="1"/>
  <c r="H33" i="20"/>
  <c r="G33" i="20"/>
  <c r="E33" i="20"/>
  <c r="D33" i="20"/>
  <c r="F33" i="20" l="1"/>
  <c r="K33" i="20"/>
  <c r="J33" i="20"/>
</calcChain>
</file>

<file path=xl/sharedStrings.xml><?xml version="1.0" encoding="utf-8"?>
<sst xmlns="http://schemas.openxmlformats.org/spreadsheetml/2006/main" count="52" uniqueCount="44">
  <si>
    <r>
      <rPr>
        <b/>
        <sz val="10"/>
        <color theme="1"/>
        <rFont val="宋体"/>
        <family val="3"/>
        <charset val="134"/>
      </rPr>
      <t>执行时间</t>
    </r>
    <phoneticPr fontId="3" type="noConversion"/>
  </si>
  <si>
    <r>
      <rPr>
        <b/>
        <sz val="10"/>
        <color theme="0"/>
        <rFont val="宋体"/>
        <family val="3"/>
        <charset val="134"/>
      </rPr>
      <t>开始日期</t>
    </r>
    <phoneticPr fontId="3" type="noConversion"/>
  </si>
  <si>
    <r>
      <rPr>
        <b/>
        <sz val="10"/>
        <color theme="0"/>
        <rFont val="宋体"/>
        <family val="3"/>
        <charset val="134"/>
      </rPr>
      <t>结束日期</t>
    </r>
    <phoneticPr fontId="3" type="noConversion"/>
  </si>
  <si>
    <t>阶段小结</t>
    <phoneticPr fontId="3" type="noConversion"/>
  </si>
  <si>
    <t>每日数据概览</t>
    <phoneticPr fontId="3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</si>
  <si>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6" type="noConversion"/>
  </si>
  <si>
    <r>
      <t>MiniInTheBox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2" type="noConversion"/>
  </si>
  <si>
    <r>
      <rPr>
        <sz val="10"/>
        <color theme="1"/>
        <rFont val="宋体"/>
        <family val="3"/>
        <charset val="134"/>
      </rPr>
      <t>合计：</t>
    </r>
    <phoneticPr fontId="3" type="noConversion"/>
  </si>
  <si>
    <t>活动执行数据概览</t>
    <phoneticPr fontId="33" type="noConversion"/>
  </si>
  <si>
    <t>1.进行各场景的测试投放，逐步提高投放预算；</t>
  </si>
  <si>
    <t>2.优化动态出价算法；</t>
  </si>
  <si>
    <t>3.观察数据，淘汰低效果的创意；</t>
  </si>
  <si>
    <t>4.总结投放数据，优化投放模型；</t>
  </si>
  <si>
    <t>5.利用原先积累的用户数据开始开展retargeting投放；</t>
  </si>
  <si>
    <t>6.积累本周投放数据后和GA报表进行数据比对；</t>
  </si>
  <si>
    <t>本周策略：</t>
    <phoneticPr fontId="33" type="noConversion"/>
  </si>
  <si>
    <r>
      <rPr>
        <b/>
        <sz val="10"/>
        <color theme="0"/>
        <rFont val="宋体"/>
        <family val="3"/>
        <charset val="134"/>
      </rPr>
      <t>日期</t>
    </r>
  </si>
  <si>
    <r>
      <rPr>
        <b/>
        <sz val="10"/>
        <color theme="0"/>
        <rFont val="宋体"/>
        <family val="3"/>
        <charset val="134"/>
      </rPr>
      <t>曝光数</t>
    </r>
  </si>
  <si>
    <t>点击数</t>
  </si>
  <si>
    <t>点击率</t>
  </si>
  <si>
    <t>转化数</t>
  </si>
  <si>
    <r>
      <rPr>
        <b/>
        <sz val="10"/>
        <color theme="0"/>
        <rFont val="宋体"/>
        <family val="3"/>
        <charset val="134"/>
      </rPr>
      <t>订单金额</t>
    </r>
  </si>
  <si>
    <r>
      <rPr>
        <b/>
        <sz val="10"/>
        <color theme="0"/>
        <rFont val="宋体"/>
        <family val="3"/>
        <charset val="134"/>
      </rPr>
      <t>投放费用</t>
    </r>
  </si>
  <si>
    <t>CPM</t>
  </si>
  <si>
    <t>CPC</t>
  </si>
  <si>
    <t>活动</t>
  </si>
  <si>
    <r>
      <rPr>
        <sz val="10"/>
        <color theme="1"/>
        <rFont val="宋体"/>
        <family val="3"/>
        <charset val="134"/>
      </rPr>
      <t>合计：</t>
    </r>
  </si>
  <si>
    <t>French</t>
    <phoneticPr fontId="51" type="noConversion"/>
  </si>
  <si>
    <t>Portuguese(Brazil)</t>
    <phoneticPr fontId="51" type="noConversion"/>
  </si>
  <si>
    <t>German</t>
    <phoneticPr fontId="51" type="noConversion"/>
  </si>
  <si>
    <t>Italian</t>
    <phoneticPr fontId="51" type="noConversion"/>
  </si>
  <si>
    <t>Spanish</t>
    <phoneticPr fontId="51" type="noConversion"/>
  </si>
  <si>
    <t>Russian</t>
    <phoneticPr fontId="51" type="noConversion"/>
  </si>
  <si>
    <t>Netherland</t>
    <phoneticPr fontId="51" type="noConversion"/>
  </si>
  <si>
    <t>Danish</t>
    <phoneticPr fontId="51" type="noConversion"/>
  </si>
  <si>
    <t>Swedish</t>
    <phoneticPr fontId="51" type="noConversion"/>
  </si>
  <si>
    <t>Norwegian</t>
    <phoneticPr fontId="51" type="noConversion"/>
  </si>
  <si>
    <t xml:space="preserve">Portuguese retargeting </t>
    <phoneticPr fontId="51" type="noConversion"/>
  </si>
  <si>
    <t>Italian retargeting</t>
    <phoneticPr fontId="51" type="noConversion"/>
  </si>
  <si>
    <t>Russian retargeting</t>
    <phoneticPr fontId="51" type="noConversion"/>
  </si>
  <si>
    <t>Netherland retargeting</t>
    <phoneticPr fontId="51" type="noConversion"/>
  </si>
  <si>
    <t>Danish retargeting</t>
    <phoneticPr fontId="51" type="noConversion"/>
  </si>
  <si>
    <t>Swedish retargeting</t>
    <phoneticPr fontId="51" type="noConversion"/>
  </si>
  <si>
    <t>Norwegian retargeting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</si>
</sst>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\$#,##0.00;\-\$#,##0.00"/>
  </numFmts>
  <fonts count="5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5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7" borderId="3" applyNumberFormat="0" applyAlignment="0" applyProtection="0">
      <alignment vertical="center"/>
    </xf>
    <xf numFmtId="0" fontId="8" fillId="28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3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4" fillId="32" borderId="9" applyNumberFormat="0" applyFont="0" applyAlignment="0" applyProtection="0">
      <alignment vertical="center"/>
    </xf>
    <xf numFmtId="0" fontId="17" fillId="27" borderId="10" applyNumberForma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0" borderId="3" applyNumberFormat="0" applyAlignment="0" applyProtection="0">
      <alignment vertical="center"/>
    </xf>
    <xf numFmtId="0" fontId="42" fillId="27" borderId="10" applyNumberFormat="0" applyAlignment="0" applyProtection="0">
      <alignment vertical="center"/>
    </xf>
    <xf numFmtId="0" fontId="43" fillId="27" borderId="3" applyNumberFormat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5" fillId="28" borderId="4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32" borderId="9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7" borderId="3" applyNumberFormat="0" applyAlignment="0" applyProtection="0">
      <alignment vertical="center"/>
    </xf>
    <xf numFmtId="0" fontId="8" fillId="28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3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7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5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7" borderId="3" applyNumberFormat="0" applyAlignment="0" applyProtection="0">
      <alignment vertical="center"/>
    </xf>
    <xf numFmtId="0" fontId="8" fillId="28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3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7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68">
    <xf numFmtId="0" fontId="0" fillId="0" borderId="0" xfId="0">
      <alignment vertical="center"/>
    </xf>
    <xf numFmtId="14" fontId="21" fillId="34" borderId="1" xfId="0" applyNumberFormat="1" applyFont="1" applyFill="1" applyBorder="1">
      <alignment vertical="center"/>
    </xf>
    <xf numFmtId="3" fontId="21" fillId="37" borderId="1" xfId="0" applyNumberFormat="1" applyFont="1" applyFill="1" applyBorder="1" applyAlignment="1"/>
    <xf numFmtId="26" fontId="21" fillId="37" borderId="1" xfId="0" applyNumberFormat="1" applyFont="1" applyFill="1" applyBorder="1" applyAlignment="1"/>
    <xf numFmtId="0" fontId="27" fillId="34" borderId="0" xfId="0" applyFont="1" applyFill="1">
      <alignment vertical="center"/>
    </xf>
    <xf numFmtId="0" fontId="27" fillId="34" borderId="16" xfId="0" applyFont="1" applyFill="1" applyBorder="1">
      <alignment vertical="center"/>
    </xf>
    <xf numFmtId="0" fontId="27" fillId="34" borderId="0" xfId="0" applyFont="1" applyFill="1" applyBorder="1">
      <alignment vertical="center"/>
    </xf>
    <xf numFmtId="0" fontId="27" fillId="34" borderId="17" xfId="0" applyFont="1" applyFill="1" applyBorder="1">
      <alignment vertical="center"/>
    </xf>
    <xf numFmtId="0" fontId="28" fillId="36" borderId="0" xfId="0" applyFont="1" applyFill="1" applyBorder="1" applyAlignment="1">
      <alignment horizontal="left" vertical="center"/>
    </xf>
    <xf numFmtId="0" fontId="21" fillId="37" borderId="1" xfId="0" applyFont="1" applyFill="1" applyBorder="1" applyAlignment="1">
      <alignment horizontal="right" vertical="center"/>
    </xf>
    <xf numFmtId="0" fontId="27" fillId="34" borderId="18" xfId="0" applyFont="1" applyFill="1" applyBorder="1">
      <alignment vertical="center"/>
    </xf>
    <xf numFmtId="0" fontId="27" fillId="34" borderId="12" xfId="0" applyFont="1" applyFill="1" applyBorder="1">
      <alignment vertical="center"/>
    </xf>
    <xf numFmtId="0" fontId="27" fillId="34" borderId="19" xfId="0" applyFont="1" applyFill="1" applyBorder="1">
      <alignment vertical="center"/>
    </xf>
    <xf numFmtId="0" fontId="27" fillId="34" borderId="0" xfId="0" applyFont="1" applyFill="1" applyAlignment="1">
      <alignment vertical="center"/>
    </xf>
    <xf numFmtId="0" fontId="30" fillId="33" borderId="1" xfId="0" applyFont="1" applyFill="1" applyBorder="1" applyAlignment="1">
      <alignment horizontal="center" vertical="center"/>
    </xf>
    <xf numFmtId="177" fontId="21" fillId="34" borderId="0" xfId="43" applyNumberFormat="1" applyFont="1" applyFill="1" applyBorder="1" applyAlignment="1">
      <alignment vertical="center"/>
    </xf>
    <xf numFmtId="0" fontId="29" fillId="36" borderId="0" xfId="0" applyFont="1" applyFill="1" applyBorder="1">
      <alignment vertical="center"/>
    </xf>
    <xf numFmtId="3" fontId="21" fillId="37" borderId="2" xfId="0" applyNumberFormat="1" applyFont="1" applyFill="1" applyBorder="1" applyAlignment="1">
      <alignment horizontal="right"/>
    </xf>
    <xf numFmtId="10" fontId="21" fillId="37" borderId="2" xfId="39" applyNumberFormat="1" applyFont="1" applyFill="1" applyBorder="1" applyAlignment="1">
      <alignment horizontal="right"/>
    </xf>
    <xf numFmtId="10" fontId="27" fillId="34" borderId="0" xfId="0" applyNumberFormat="1" applyFont="1" applyFill="1" applyBorder="1">
      <alignment vertical="center"/>
    </xf>
    <xf numFmtId="10" fontId="27" fillId="34" borderId="0" xfId="0" applyNumberFormat="1" applyFont="1" applyFill="1">
      <alignment vertical="center"/>
    </xf>
    <xf numFmtId="10" fontId="21" fillId="34" borderId="0" xfId="39" applyNumberFormat="1" applyFont="1" applyFill="1" applyBorder="1">
      <alignment vertical="center"/>
    </xf>
    <xf numFmtId="10" fontId="27" fillId="34" borderId="12" xfId="0" applyNumberFormat="1" applyFont="1" applyFill="1" applyBorder="1">
      <alignment vertical="center"/>
    </xf>
    <xf numFmtId="0" fontId="21" fillId="34" borderId="0" xfId="0" applyFont="1" applyFill="1" applyBorder="1" applyAlignment="1">
      <alignment horizontal="right" vertical="center"/>
    </xf>
    <xf numFmtId="3" fontId="21" fillId="34" borderId="0" xfId="0" applyNumberFormat="1" applyFont="1" applyFill="1" applyBorder="1" applyAlignment="1"/>
    <xf numFmtId="3" fontId="21" fillId="34" borderId="0" xfId="0" applyNumberFormat="1" applyFont="1" applyFill="1" applyBorder="1" applyAlignment="1">
      <alignment horizontal="right"/>
    </xf>
    <xf numFmtId="10" fontId="21" fillId="34" borderId="0" xfId="39" applyNumberFormat="1" applyFont="1" applyFill="1" applyBorder="1" applyAlignment="1">
      <alignment horizontal="right"/>
    </xf>
    <xf numFmtId="26" fontId="21" fillId="34" borderId="0" xfId="0" applyNumberFormat="1" applyFont="1" applyFill="1" applyBorder="1" applyAlignment="1"/>
    <xf numFmtId="0" fontId="29" fillId="38" borderId="0" xfId="0" applyFont="1" applyFill="1" applyBorder="1">
      <alignment vertical="center"/>
    </xf>
    <xf numFmtId="0" fontId="27" fillId="34" borderId="14" xfId="0" applyFont="1" applyFill="1" applyBorder="1">
      <alignment vertical="center"/>
    </xf>
    <xf numFmtId="10" fontId="27" fillId="34" borderId="14" xfId="0" applyNumberFormat="1" applyFont="1" applyFill="1" applyBorder="1">
      <alignment vertical="center"/>
    </xf>
    <xf numFmtId="0" fontId="27" fillId="34" borderId="15" xfId="0" applyFont="1" applyFill="1" applyBorder="1">
      <alignment vertical="center"/>
    </xf>
    <xf numFmtId="0" fontId="23" fillId="34" borderId="16" xfId="0" applyFont="1" applyFill="1" applyBorder="1">
      <alignment vertical="center"/>
    </xf>
    <xf numFmtId="0" fontId="29" fillId="34" borderId="13" xfId="0" applyFont="1" applyFill="1" applyBorder="1">
      <alignment vertical="center"/>
    </xf>
    <xf numFmtId="0" fontId="29" fillId="34" borderId="16" xfId="0" applyFont="1" applyFill="1" applyBorder="1">
      <alignment vertical="center"/>
    </xf>
    <xf numFmtId="0" fontId="27" fillId="34" borderId="0" xfId="0" applyFont="1" applyFill="1" applyBorder="1" applyAlignment="1">
      <alignment vertical="center"/>
    </xf>
    <xf numFmtId="10" fontId="27" fillId="34" borderId="0" xfId="0" applyNumberFormat="1" applyFont="1" applyFill="1" applyBorder="1" applyAlignment="1">
      <alignment vertical="center"/>
    </xf>
    <xf numFmtId="0" fontId="27" fillId="34" borderId="0" xfId="0" applyFont="1" applyFill="1" applyBorder="1" applyAlignment="1">
      <alignment vertical="top" wrapText="1"/>
    </xf>
    <xf numFmtId="0" fontId="27" fillId="34" borderId="12" xfId="0" applyFont="1" applyFill="1" applyBorder="1" applyAlignment="1">
      <alignment vertical="center"/>
    </xf>
    <xf numFmtId="10" fontId="27" fillId="34" borderId="12" xfId="0" applyNumberFormat="1" applyFont="1" applyFill="1" applyBorder="1" applyAlignment="1">
      <alignment vertical="center"/>
    </xf>
    <xf numFmtId="26" fontId="21" fillId="35" borderId="1" xfId="87" applyNumberFormat="1" applyFont="1" applyFill="1" applyBorder="1" applyAlignment="1"/>
    <xf numFmtId="14" fontId="21" fillId="0" borderId="1" xfId="87" applyNumberFormat="1" applyFont="1" applyBorder="1" applyAlignment="1">
      <alignment horizontal="left" vertical="center"/>
    </xf>
    <xf numFmtId="3" fontId="21" fillId="0" borderId="1" xfId="87" applyNumberFormat="1" applyFont="1" applyBorder="1" applyAlignment="1">
      <alignment horizontal="right"/>
    </xf>
    <xf numFmtId="0" fontId="22" fillId="33" borderId="1" xfId="87" applyFont="1" applyFill="1" applyBorder="1" applyAlignment="1">
      <alignment horizontal="center" vertical="center"/>
    </xf>
    <xf numFmtId="0" fontId="30" fillId="33" borderId="1" xfId="87" applyFont="1" applyFill="1" applyBorder="1" applyAlignment="1">
      <alignment horizontal="center" vertical="center"/>
    </xf>
    <xf numFmtId="0" fontId="22" fillId="33" borderId="2" xfId="87" applyFont="1" applyFill="1" applyBorder="1" applyAlignment="1">
      <alignment horizontal="center" vertical="center"/>
    </xf>
    <xf numFmtId="3" fontId="21" fillId="0" borderId="2" xfId="87" applyNumberFormat="1" applyFont="1" applyBorder="1" applyAlignment="1">
      <alignment horizontal="right"/>
    </xf>
    <xf numFmtId="26" fontId="21" fillId="34" borderId="1" xfId="87" applyNumberFormat="1" applyFont="1" applyFill="1" applyBorder="1" applyAlignment="1"/>
    <xf numFmtId="10" fontId="21" fillId="34" borderId="2" xfId="126" applyNumberFormat="1" applyFont="1" applyFill="1" applyBorder="1" applyAlignment="1">
      <alignment horizontal="right"/>
    </xf>
    <xf numFmtId="10" fontId="22" fillId="33" borderId="2" xfId="87" applyNumberFormat="1" applyFont="1" applyFill="1" applyBorder="1" applyAlignment="1">
      <alignment horizontal="center" vertical="center"/>
    </xf>
    <xf numFmtId="26" fontId="21" fillId="35" borderId="1" xfId="131" applyNumberFormat="1" applyFont="1" applyFill="1" applyBorder="1" applyAlignment="1"/>
    <xf numFmtId="14" fontId="21" fillId="0" borderId="1" xfId="131" applyNumberFormat="1" applyFont="1" applyBorder="1" applyAlignment="1">
      <alignment horizontal="left" vertical="center"/>
    </xf>
    <xf numFmtId="3" fontId="21" fillId="37" borderId="1" xfId="131" applyNumberFormat="1" applyFont="1" applyFill="1" applyBorder="1" applyAlignment="1"/>
    <xf numFmtId="26" fontId="21" fillId="37" borderId="1" xfId="131" applyNumberFormat="1" applyFont="1" applyFill="1" applyBorder="1" applyAlignment="1"/>
    <xf numFmtId="0" fontId="21" fillId="37" borderId="1" xfId="131" applyFont="1" applyFill="1" applyBorder="1" applyAlignment="1">
      <alignment horizontal="right" vertical="center"/>
    </xf>
    <xf numFmtId="3" fontId="21" fillId="0" borderId="1" xfId="131" applyNumberFormat="1" applyFont="1" applyBorder="1" applyAlignment="1">
      <alignment horizontal="right"/>
    </xf>
    <xf numFmtId="0" fontId="22" fillId="33" borderId="1" xfId="131" applyFont="1" applyFill="1" applyBorder="1" applyAlignment="1">
      <alignment horizontal="center" vertical="center"/>
    </xf>
    <xf numFmtId="0" fontId="30" fillId="33" borderId="1" xfId="131" applyFont="1" applyFill="1" applyBorder="1" applyAlignment="1">
      <alignment horizontal="center" vertical="center"/>
    </xf>
    <xf numFmtId="0" fontId="22" fillId="33" borderId="2" xfId="131" applyFont="1" applyFill="1" applyBorder="1" applyAlignment="1">
      <alignment horizontal="center" vertical="center"/>
    </xf>
    <xf numFmtId="3" fontId="21" fillId="0" borderId="2" xfId="131" applyNumberFormat="1" applyFont="1" applyBorder="1" applyAlignment="1">
      <alignment horizontal="right"/>
    </xf>
    <xf numFmtId="26" fontId="21" fillId="34" borderId="1" xfId="131" applyNumberFormat="1" applyFont="1" applyFill="1" applyBorder="1" applyAlignment="1"/>
    <xf numFmtId="10" fontId="21" fillId="34" borderId="2" xfId="170" applyNumberFormat="1" applyFont="1" applyFill="1" applyBorder="1" applyAlignment="1">
      <alignment horizontal="right"/>
    </xf>
    <xf numFmtId="10" fontId="21" fillId="37" borderId="2" xfId="170" applyNumberFormat="1" applyFont="1" applyFill="1" applyBorder="1" applyAlignment="1">
      <alignment horizontal="right"/>
    </xf>
    <xf numFmtId="10" fontId="22" fillId="33" borderId="2" xfId="131" applyNumberFormat="1" applyFont="1" applyFill="1" applyBorder="1" applyAlignment="1">
      <alignment horizontal="center" vertical="center"/>
    </xf>
    <xf numFmtId="178" fontId="21" fillId="37" borderId="1" xfId="131" applyNumberFormat="1" applyFont="1" applyFill="1" applyBorder="1" applyAlignment="1"/>
    <xf numFmtId="0" fontId="24" fillId="33" borderId="13" xfId="0" applyFont="1" applyFill="1" applyBorder="1" applyAlignment="1">
      <alignment horizontal="center" vertical="center"/>
    </xf>
    <xf numFmtId="0" fontId="24" fillId="33" borderId="14" xfId="0" applyFont="1" applyFill="1" applyBorder="1" applyAlignment="1">
      <alignment horizontal="center" vertical="center"/>
    </xf>
    <xf numFmtId="0" fontId="24" fillId="33" borderId="15" xfId="0" applyFont="1" applyFill="1" applyBorder="1" applyAlignment="1">
      <alignment horizontal="center" vertical="center"/>
    </xf>
  </cellXfs>
  <cellStyles count="175">
    <cellStyle name="20% - 强调文字颜色 1" xfId="1" builtinId="30" customBuiltin="1"/>
    <cellStyle name="20% - 强调文字颜色 1 2" xfId="88"/>
    <cellStyle name="20% - 强调文字颜色 1 3" xfId="64"/>
    <cellStyle name="20% - 强调文字颜色 1 4" xfId="132"/>
    <cellStyle name="20% - 强调文字颜色 2" xfId="2" builtinId="34" customBuiltin="1"/>
    <cellStyle name="20% - 强调文字颜色 2 2" xfId="89"/>
    <cellStyle name="20% - 强调文字颜色 2 3" xfId="68"/>
    <cellStyle name="20% - 强调文字颜色 2 4" xfId="133"/>
    <cellStyle name="20% - 强调文字颜色 3" xfId="3" builtinId="38" customBuiltin="1"/>
    <cellStyle name="20% - 强调文字颜色 3 2" xfId="90"/>
    <cellStyle name="20% - 强调文字颜色 3 3" xfId="72"/>
    <cellStyle name="20% - 强调文字颜色 3 4" xfId="134"/>
    <cellStyle name="20% - 强调文字颜色 4" xfId="4" builtinId="42" customBuiltin="1"/>
    <cellStyle name="20% - 强调文字颜色 4 2" xfId="91"/>
    <cellStyle name="20% - 强调文字颜色 4 3" xfId="76"/>
    <cellStyle name="20% - 强调文字颜色 4 4" xfId="135"/>
    <cellStyle name="20% - 强调文字颜色 5" xfId="5" builtinId="46" customBuiltin="1"/>
    <cellStyle name="20% - 强调文字颜色 5 2" xfId="92"/>
    <cellStyle name="20% - 强调文字颜色 5 3" xfId="80"/>
    <cellStyle name="20% - 强调文字颜色 5 4" xfId="136"/>
    <cellStyle name="20% - 强调文字颜色 6" xfId="6" builtinId="50" customBuiltin="1"/>
    <cellStyle name="20% - 强调文字颜色 6 2" xfId="93"/>
    <cellStyle name="20% - 强调文字颜色 6 3" xfId="84"/>
    <cellStyle name="20% - 强调文字颜色 6 4" xfId="137"/>
    <cellStyle name="40% - 强调文字颜色 1" xfId="7" builtinId="31" customBuiltin="1"/>
    <cellStyle name="40% - 强调文字颜色 1 2" xfId="94"/>
    <cellStyle name="40% - 强调文字颜色 1 3" xfId="65"/>
    <cellStyle name="40% - 强调文字颜色 1 4" xfId="138"/>
    <cellStyle name="40% - 强调文字颜色 2" xfId="8" builtinId="35" customBuiltin="1"/>
    <cellStyle name="40% - 强调文字颜色 2 2" xfId="95"/>
    <cellStyle name="40% - 强调文字颜色 2 3" xfId="69"/>
    <cellStyle name="40% - 强调文字颜色 2 4" xfId="139"/>
    <cellStyle name="40% - 强调文字颜色 3" xfId="9" builtinId="39" customBuiltin="1"/>
    <cellStyle name="40% - 强调文字颜色 3 2" xfId="96"/>
    <cellStyle name="40% - 强调文字颜色 3 3" xfId="73"/>
    <cellStyle name="40% - 强调文字颜色 3 4" xfId="140"/>
    <cellStyle name="40% - 强调文字颜色 4" xfId="10" builtinId="43" customBuiltin="1"/>
    <cellStyle name="40% - 强调文字颜色 4 2" xfId="97"/>
    <cellStyle name="40% - 强调文字颜色 4 3" xfId="77"/>
    <cellStyle name="40% - 强调文字颜色 4 4" xfId="141"/>
    <cellStyle name="40% - 强调文字颜色 5" xfId="11" builtinId="47" customBuiltin="1"/>
    <cellStyle name="40% - 强调文字颜色 5 2" xfId="98"/>
    <cellStyle name="40% - 强调文字颜色 5 3" xfId="81"/>
    <cellStyle name="40% - 强调文字颜色 5 4" xfId="142"/>
    <cellStyle name="40% - 强调文字颜色 6" xfId="12" builtinId="51" customBuiltin="1"/>
    <cellStyle name="40% - 强调文字颜色 6 2" xfId="99"/>
    <cellStyle name="40% - 强调文字颜色 6 3" xfId="85"/>
    <cellStyle name="40% - 强调文字颜色 6 4" xfId="143"/>
    <cellStyle name="60% - 强调文字颜色 1" xfId="13" builtinId="32" customBuiltin="1"/>
    <cellStyle name="60% - 强调文字颜色 1 2" xfId="100"/>
    <cellStyle name="60% - 强调文字颜色 1 3" xfId="66"/>
    <cellStyle name="60% - 强调文字颜色 1 4" xfId="144"/>
    <cellStyle name="60% - 强调文字颜色 2" xfId="14" builtinId="36" customBuiltin="1"/>
    <cellStyle name="60% - 强调文字颜色 2 2" xfId="101"/>
    <cellStyle name="60% - 强调文字颜色 2 3" xfId="70"/>
    <cellStyle name="60% - 强调文字颜色 2 4" xfId="145"/>
    <cellStyle name="60% - 强调文字颜色 3" xfId="15" builtinId="40" customBuiltin="1"/>
    <cellStyle name="60% - 强调文字颜色 3 2" xfId="102"/>
    <cellStyle name="60% - 强调文字颜色 3 3" xfId="74"/>
    <cellStyle name="60% - 强调文字颜色 3 4" xfId="146"/>
    <cellStyle name="60% - 强调文字颜色 4" xfId="16" builtinId="44" customBuiltin="1"/>
    <cellStyle name="60% - 强调文字颜色 4 2" xfId="103"/>
    <cellStyle name="60% - 强调文字颜色 4 3" xfId="78"/>
    <cellStyle name="60% - 强调文字颜色 4 4" xfId="147"/>
    <cellStyle name="60% - 强调文字颜色 5" xfId="17" builtinId="48" customBuiltin="1"/>
    <cellStyle name="60% - 强调文字颜色 5 2" xfId="104"/>
    <cellStyle name="60% - 强调文字颜色 5 3" xfId="82"/>
    <cellStyle name="60% - 强调文字颜色 5 4" xfId="148"/>
    <cellStyle name="60% - 强调文字颜色 6" xfId="18" builtinId="52" customBuiltin="1"/>
    <cellStyle name="60% - 强调文字颜色 6 2" xfId="105"/>
    <cellStyle name="60% - 强调文字颜色 6 3" xfId="86"/>
    <cellStyle name="60% - 强调文字颜色 6 4" xfId="149"/>
    <cellStyle name="Percent 2" xfId="44"/>
    <cellStyle name="百分比" xfId="39" builtinId="5"/>
    <cellStyle name="百分比 2" xfId="126"/>
    <cellStyle name="百分比 3" xfId="170"/>
    <cellStyle name="标题" xfId="40" builtinId="15" customBuiltin="1"/>
    <cellStyle name="标题 1" xfId="30" builtinId="16" customBuiltin="1"/>
    <cellStyle name="标题 1 2" xfId="117"/>
    <cellStyle name="标题 1 3" xfId="47"/>
    <cellStyle name="标题 1 4" xfId="161"/>
    <cellStyle name="标题 2" xfId="31" builtinId="17" customBuiltin="1"/>
    <cellStyle name="标题 2 2" xfId="118"/>
    <cellStyle name="标题 2 3" xfId="48"/>
    <cellStyle name="标题 2 4" xfId="162"/>
    <cellStyle name="标题 3" xfId="32" builtinId="18" customBuiltin="1"/>
    <cellStyle name="标题 3 2" xfId="119"/>
    <cellStyle name="标题 3 3" xfId="49"/>
    <cellStyle name="标题 3 4" xfId="163"/>
    <cellStyle name="标题 4" xfId="33" builtinId="19" customBuiltin="1"/>
    <cellStyle name="标题 4 2" xfId="120"/>
    <cellStyle name="标题 4 3" xfId="50"/>
    <cellStyle name="标题 4 4" xfId="164"/>
    <cellStyle name="标题 5" xfId="127"/>
    <cellStyle name="标题 6" xfId="46"/>
    <cellStyle name="标题 7" xfId="171"/>
    <cellStyle name="差" xfId="25" builtinId="27" customBuiltin="1"/>
    <cellStyle name="差 2" xfId="112"/>
    <cellStyle name="差 3" xfId="52"/>
    <cellStyle name="差 4" xfId="156"/>
    <cellStyle name="常规" xfId="0" builtinId="0"/>
    <cellStyle name="常规 2" xfId="87"/>
    <cellStyle name="常规 3" xfId="45"/>
    <cellStyle name="常规 4" xfId="131"/>
    <cellStyle name="好" xfId="29" builtinId="26" customBuiltin="1"/>
    <cellStyle name="好 2" xfId="116"/>
    <cellStyle name="好 3" xfId="51"/>
    <cellStyle name="好 4" xfId="160"/>
    <cellStyle name="汇总" xfId="41" builtinId="25" customBuiltin="1"/>
    <cellStyle name="汇总 2" xfId="128"/>
    <cellStyle name="汇总 3" xfId="62"/>
    <cellStyle name="汇总 4" xfId="172"/>
    <cellStyle name="计算" xfId="26" builtinId="22" customBuiltin="1"/>
    <cellStyle name="计算 2" xfId="113"/>
    <cellStyle name="计算 3" xfId="56"/>
    <cellStyle name="计算 4" xfId="157"/>
    <cellStyle name="检查单元格" xfId="27" builtinId="23" customBuiltin="1"/>
    <cellStyle name="检查单元格 2" xfId="114"/>
    <cellStyle name="检查单元格 3" xfId="58"/>
    <cellStyle name="检查单元格 4" xfId="158"/>
    <cellStyle name="解释性文本" xfId="28" builtinId="53" customBuiltin="1"/>
    <cellStyle name="解释性文本 2" xfId="115"/>
    <cellStyle name="解释性文本 3" xfId="61"/>
    <cellStyle name="解释性文本 4" xfId="159"/>
    <cellStyle name="警告文本" xfId="42" builtinId="11" customBuiltin="1"/>
    <cellStyle name="警告文本 2" xfId="129"/>
    <cellStyle name="警告文本 3" xfId="59"/>
    <cellStyle name="警告文本 4" xfId="173"/>
    <cellStyle name="链接单元格" xfId="35" builtinId="24" customBuiltin="1"/>
    <cellStyle name="链接单元格 2" xfId="122"/>
    <cellStyle name="链接单元格 3" xfId="57"/>
    <cellStyle name="链接单元格 4" xfId="166"/>
    <cellStyle name="千位分隔" xfId="43" builtinId="3"/>
    <cellStyle name="千位分隔 2" xfId="130"/>
    <cellStyle name="千位分隔 3" xfId="174"/>
    <cellStyle name="强调文字颜色 1" xfId="19" builtinId="29" customBuiltin="1"/>
    <cellStyle name="强调文字颜色 1 2" xfId="106"/>
    <cellStyle name="强调文字颜色 1 3" xfId="63"/>
    <cellStyle name="强调文字颜色 1 4" xfId="150"/>
    <cellStyle name="强调文字颜色 2" xfId="20" builtinId="33" customBuiltin="1"/>
    <cellStyle name="强调文字颜色 2 2" xfId="107"/>
    <cellStyle name="强调文字颜色 2 3" xfId="67"/>
    <cellStyle name="强调文字颜色 2 4" xfId="151"/>
    <cellStyle name="强调文字颜色 3" xfId="21" builtinId="37" customBuiltin="1"/>
    <cellStyle name="强调文字颜色 3 2" xfId="108"/>
    <cellStyle name="强调文字颜色 3 3" xfId="71"/>
    <cellStyle name="强调文字颜色 3 4" xfId="152"/>
    <cellStyle name="强调文字颜色 4" xfId="22" builtinId="41" customBuiltin="1"/>
    <cellStyle name="强调文字颜色 4 2" xfId="109"/>
    <cellStyle name="强调文字颜色 4 3" xfId="75"/>
    <cellStyle name="强调文字颜色 4 4" xfId="153"/>
    <cellStyle name="强调文字颜色 5" xfId="23" builtinId="45" customBuiltin="1"/>
    <cellStyle name="强调文字颜色 5 2" xfId="110"/>
    <cellStyle name="强调文字颜色 5 3" xfId="79"/>
    <cellStyle name="强调文字颜色 5 4" xfId="154"/>
    <cellStyle name="强调文字颜色 6" xfId="24" builtinId="49" customBuiltin="1"/>
    <cellStyle name="强调文字颜色 6 2" xfId="111"/>
    <cellStyle name="强调文字颜色 6 3" xfId="83"/>
    <cellStyle name="强调文字颜色 6 4" xfId="155"/>
    <cellStyle name="适中" xfId="36" builtinId="28" customBuiltin="1"/>
    <cellStyle name="适中 2" xfId="123"/>
    <cellStyle name="适中 3" xfId="53"/>
    <cellStyle name="适中 4" xfId="167"/>
    <cellStyle name="输出" xfId="38" builtinId="21" customBuiltin="1"/>
    <cellStyle name="输出 2" xfId="125"/>
    <cellStyle name="输出 3" xfId="55"/>
    <cellStyle name="输出 4" xfId="169"/>
    <cellStyle name="输入" xfId="34" builtinId="20" customBuiltin="1"/>
    <cellStyle name="输入 2" xfId="121"/>
    <cellStyle name="输入 3" xfId="54"/>
    <cellStyle name="输入 4" xfId="165"/>
    <cellStyle name="注释" xfId="37" builtinId="10" customBuiltin="1"/>
    <cellStyle name="注释 2" xfId="124"/>
    <cellStyle name="注释 3" xfId="60"/>
    <cellStyle name="注释 4" xfId="16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8"/>
  <sheetViews>
    <sheetView tabSelected="1" workbookViewId="0">
      <selection activeCell="B2" sqref="B2:L2"/>
    </sheetView>
  </sheetViews>
  <sheetFormatPr defaultColWidth="9" defaultRowHeight="14.25" x14ac:dyDescent="0.15"/>
  <cols>
    <col min="1" max="1" width="3.625" style="4" customWidth="1"/>
    <col min="2" max="2" width="2.625" style="4" customWidth="1"/>
    <col min="3" max="3" width="20.875" style="4" customWidth="1"/>
    <col min="4" max="4" width="14.625" style="4" customWidth="1"/>
    <col min="5" max="5" width="12.875" style="4" customWidth="1"/>
    <col min="6" max="6" width="13.25" style="20" customWidth="1"/>
    <col min="7" max="7" width="13.5" style="4" customWidth="1"/>
    <col min="8" max="8" width="16" style="4" customWidth="1"/>
    <col min="9" max="9" width="14.375" style="4" bestFit="1" customWidth="1"/>
    <col min="10" max="11" width="12.625" style="4" customWidth="1"/>
    <col min="12" max="12" width="2.625" style="4" customWidth="1"/>
    <col min="13" max="16384" width="9" style="4"/>
  </cols>
  <sheetData>
    <row r="2" spans="2:12" ht="15.75" x14ac:dyDescent="0.15">
      <c r="B2" s="65" t="s">
        <v>6</v>
      </c>
      <c r="C2" s="66"/>
      <c r="D2" s="66"/>
      <c r="E2" s="66"/>
      <c r="F2" s="66"/>
      <c r="G2" s="66"/>
      <c r="H2" s="66"/>
      <c r="I2" s="66"/>
      <c r="J2" s="66"/>
      <c r="K2" s="66"/>
      <c r="L2" s="67"/>
    </row>
    <row r="3" spans="2:12" x14ac:dyDescent="0.15">
      <c r="B3" s="5"/>
      <c r="C3" s="6"/>
      <c r="D3" s="6"/>
      <c r="E3" s="6"/>
      <c r="F3" s="19"/>
      <c r="G3" s="6"/>
      <c r="H3" s="6"/>
      <c r="I3" s="6"/>
      <c r="J3" s="6"/>
      <c r="K3" s="6"/>
      <c r="L3" s="7"/>
    </row>
    <row r="4" spans="2:12" x14ac:dyDescent="0.15">
      <c r="B4" s="5"/>
      <c r="C4" s="8" t="s">
        <v>0</v>
      </c>
      <c r="D4" s="6"/>
      <c r="E4" s="6"/>
      <c r="F4" s="19"/>
      <c r="G4" s="6"/>
      <c r="H4" s="6"/>
      <c r="I4" s="6"/>
      <c r="J4" s="6"/>
      <c r="K4" s="6"/>
      <c r="L4" s="7"/>
    </row>
    <row r="5" spans="2:12" x14ac:dyDescent="0.15">
      <c r="B5" s="5"/>
      <c r="C5" s="14" t="s">
        <v>1</v>
      </c>
      <c r="D5" s="14" t="s">
        <v>2</v>
      </c>
      <c r="E5" s="6"/>
      <c r="F5" s="19"/>
      <c r="G5" s="6"/>
      <c r="H5" s="6"/>
      <c r="I5" s="6"/>
      <c r="J5" s="6"/>
      <c r="K5" s="6"/>
      <c r="L5" s="7"/>
    </row>
    <row r="6" spans="2:12" x14ac:dyDescent="0.15">
      <c r="B6" s="5"/>
      <c r="C6" s="1">
        <v>41359</v>
      </c>
      <c r="D6" s="1">
        <v>41371</v>
      </c>
      <c r="E6" s="6"/>
      <c r="F6" s="19"/>
      <c r="G6" s="6"/>
      <c r="H6" s="6"/>
      <c r="I6" s="6"/>
      <c r="J6" s="6"/>
      <c r="K6" s="6"/>
      <c r="L6" s="7"/>
    </row>
    <row r="7" spans="2:12" x14ac:dyDescent="0.15">
      <c r="B7" s="5"/>
      <c r="C7" s="6"/>
      <c r="D7" s="6"/>
      <c r="E7" s="6"/>
      <c r="F7" s="19"/>
      <c r="G7" s="6"/>
      <c r="H7" s="6"/>
      <c r="I7" s="6"/>
      <c r="J7" s="6"/>
      <c r="K7" s="6"/>
      <c r="L7" s="7"/>
    </row>
    <row r="8" spans="2:12" x14ac:dyDescent="0.15">
      <c r="B8" s="5"/>
      <c r="C8" s="16" t="s">
        <v>3</v>
      </c>
      <c r="D8" s="6"/>
      <c r="E8" s="6"/>
      <c r="F8" s="19"/>
      <c r="G8" s="6"/>
      <c r="H8" s="6"/>
      <c r="I8" s="6"/>
      <c r="J8" s="6"/>
      <c r="K8" s="6"/>
      <c r="L8" s="7"/>
    </row>
    <row r="9" spans="2:12" x14ac:dyDescent="0.15">
      <c r="B9" s="5"/>
      <c r="C9" s="33"/>
      <c r="D9" s="29"/>
      <c r="E9" s="29"/>
      <c r="F9" s="30"/>
      <c r="G9" s="29"/>
      <c r="H9" s="29"/>
      <c r="I9" s="29"/>
      <c r="J9" s="29"/>
      <c r="K9" s="31"/>
      <c r="L9" s="7"/>
    </row>
    <row r="10" spans="2:12" x14ac:dyDescent="0.15">
      <c r="B10" s="5"/>
      <c r="C10" s="34" t="s">
        <v>15</v>
      </c>
      <c r="D10" s="6"/>
      <c r="E10" s="6"/>
      <c r="F10" s="19"/>
      <c r="G10" s="6"/>
      <c r="H10" s="6"/>
      <c r="I10" s="6"/>
      <c r="J10" s="6"/>
      <c r="K10" s="7"/>
      <c r="L10" s="7"/>
    </row>
    <row r="11" spans="2:12" x14ac:dyDescent="0.15">
      <c r="B11" s="5"/>
      <c r="C11" s="32" t="s">
        <v>9</v>
      </c>
      <c r="D11" s="6"/>
      <c r="E11" s="6"/>
      <c r="F11" s="19"/>
      <c r="G11" s="6"/>
      <c r="H11" s="6"/>
      <c r="I11" s="6"/>
      <c r="J11" s="6"/>
      <c r="K11" s="7"/>
      <c r="L11" s="7"/>
    </row>
    <row r="12" spans="2:12" x14ac:dyDescent="0.15">
      <c r="B12" s="5"/>
      <c r="C12" s="32" t="s">
        <v>10</v>
      </c>
      <c r="D12" s="6"/>
      <c r="E12" s="6"/>
      <c r="F12" s="19"/>
      <c r="G12" s="6"/>
      <c r="H12" s="6"/>
      <c r="I12" s="6"/>
      <c r="J12" s="6"/>
      <c r="K12" s="7"/>
      <c r="L12" s="7"/>
    </row>
    <row r="13" spans="2:12" x14ac:dyDescent="0.15">
      <c r="B13" s="5"/>
      <c r="C13" s="32" t="s">
        <v>11</v>
      </c>
      <c r="D13" s="6"/>
      <c r="E13" s="6"/>
      <c r="F13" s="19"/>
      <c r="G13" s="6"/>
      <c r="H13" s="6"/>
      <c r="I13" s="6"/>
      <c r="J13" s="6"/>
      <c r="K13" s="7"/>
      <c r="L13" s="7"/>
    </row>
    <row r="14" spans="2:12" x14ac:dyDescent="0.15">
      <c r="B14" s="5"/>
      <c r="C14" s="32" t="s">
        <v>12</v>
      </c>
      <c r="D14" s="6"/>
      <c r="E14" s="6"/>
      <c r="F14" s="19"/>
      <c r="G14" s="6"/>
      <c r="H14" s="6"/>
      <c r="I14" s="6"/>
      <c r="J14" s="6"/>
      <c r="K14" s="7"/>
      <c r="L14" s="7"/>
    </row>
    <row r="15" spans="2:12" x14ac:dyDescent="0.15">
      <c r="B15" s="5"/>
      <c r="C15" s="32" t="s">
        <v>13</v>
      </c>
      <c r="D15" s="6"/>
      <c r="E15" s="6"/>
      <c r="F15" s="19"/>
      <c r="G15" s="6"/>
      <c r="H15" s="6"/>
      <c r="I15" s="6"/>
      <c r="J15" s="6"/>
      <c r="K15" s="7"/>
      <c r="L15" s="7"/>
    </row>
    <row r="16" spans="2:12" x14ac:dyDescent="0.15">
      <c r="B16" s="5"/>
      <c r="C16" s="32" t="s">
        <v>14</v>
      </c>
      <c r="D16" s="6"/>
      <c r="E16" s="6"/>
      <c r="F16" s="19"/>
      <c r="G16" s="6"/>
      <c r="H16" s="6"/>
      <c r="I16" s="6"/>
      <c r="J16" s="6"/>
      <c r="K16" s="7"/>
      <c r="L16" s="7"/>
    </row>
    <row r="17" spans="2:12" ht="13.5" customHeight="1" x14ac:dyDescent="0.15">
      <c r="B17" s="5"/>
      <c r="C17" s="10"/>
      <c r="D17" s="11"/>
      <c r="E17" s="11"/>
      <c r="F17" s="22"/>
      <c r="G17" s="11"/>
      <c r="H17" s="11"/>
      <c r="I17" s="11"/>
      <c r="J17" s="11"/>
      <c r="K17" s="12"/>
      <c r="L17" s="7"/>
    </row>
    <row r="18" spans="2:12" ht="13.5" customHeight="1" x14ac:dyDescent="0.15">
      <c r="B18" s="5"/>
      <c r="C18" s="6"/>
      <c r="D18" s="6"/>
      <c r="E18" s="6"/>
      <c r="F18" s="19"/>
      <c r="G18" s="6"/>
      <c r="H18" s="6"/>
      <c r="I18" s="6"/>
      <c r="J18" s="6"/>
      <c r="K18" s="6"/>
      <c r="L18" s="7"/>
    </row>
    <row r="19" spans="2:12" x14ac:dyDescent="0.15">
      <c r="B19" s="5"/>
      <c r="C19" s="16" t="s">
        <v>4</v>
      </c>
      <c r="D19" s="6"/>
      <c r="E19" s="6"/>
      <c r="F19" s="19"/>
      <c r="G19" s="6"/>
      <c r="H19" s="6"/>
      <c r="I19" s="6"/>
      <c r="J19" s="6"/>
      <c r="K19" s="6"/>
      <c r="L19" s="7"/>
    </row>
    <row r="20" spans="2:12" x14ac:dyDescent="0.15">
      <c r="B20" s="5"/>
      <c r="C20" s="44" t="s">
        <v>16</v>
      </c>
      <c r="D20" s="44" t="s">
        <v>17</v>
      </c>
      <c r="E20" s="45" t="s">
        <v>18</v>
      </c>
      <c r="F20" s="49" t="s">
        <v>19</v>
      </c>
      <c r="G20" s="43" t="s">
        <v>20</v>
      </c>
      <c r="H20" s="44" t="s">
        <v>21</v>
      </c>
      <c r="I20" s="44" t="s">
        <v>22</v>
      </c>
      <c r="J20" s="44" t="s">
        <v>23</v>
      </c>
      <c r="K20" s="44" t="s">
        <v>24</v>
      </c>
      <c r="L20" s="7"/>
    </row>
    <row r="21" spans="2:12" x14ac:dyDescent="0.2">
      <c r="B21" s="5"/>
      <c r="C21" s="41">
        <v>41360</v>
      </c>
      <c r="D21" s="42">
        <v>2566906</v>
      </c>
      <c r="E21" s="46">
        <v>1717</v>
      </c>
      <c r="F21" s="48">
        <v>6.6889866633215245E-4</v>
      </c>
      <c r="G21" s="42">
        <v>69</v>
      </c>
      <c r="H21" s="47">
        <v>1477.64</v>
      </c>
      <c r="I21" s="40">
        <v>841.92</v>
      </c>
      <c r="J21" s="40">
        <v>0.32799019519998007</v>
      </c>
      <c r="K21" s="40">
        <v>0.49034362259755387</v>
      </c>
      <c r="L21" s="7"/>
    </row>
    <row r="22" spans="2:12" x14ac:dyDescent="0.2">
      <c r="B22" s="5"/>
      <c r="C22" s="41">
        <v>41361</v>
      </c>
      <c r="D22" s="42">
        <v>2638719</v>
      </c>
      <c r="E22" s="46">
        <v>1940</v>
      </c>
      <c r="F22" s="48">
        <v>7.3520522647542235E-4</v>
      </c>
      <c r="G22" s="42">
        <v>231</v>
      </c>
      <c r="H22" s="47">
        <v>4290.6100000000006</v>
      </c>
      <c r="I22" s="40">
        <v>919.58999999999969</v>
      </c>
      <c r="J22" s="40">
        <v>0.34849864650233686</v>
      </c>
      <c r="K22" s="40">
        <v>0.47401546391752564</v>
      </c>
      <c r="L22" s="7"/>
    </row>
    <row r="23" spans="2:12" x14ac:dyDescent="0.2">
      <c r="B23" s="5"/>
      <c r="C23" s="41">
        <v>41362</v>
      </c>
      <c r="D23" s="42">
        <v>2445267</v>
      </c>
      <c r="E23" s="46">
        <v>2071</v>
      </c>
      <c r="F23" s="48">
        <v>8.4694227665117955E-4</v>
      </c>
      <c r="G23" s="42">
        <v>297</v>
      </c>
      <c r="H23" s="47">
        <v>6106.5599999999995</v>
      </c>
      <c r="I23" s="40">
        <v>863.36</v>
      </c>
      <c r="J23" s="40">
        <v>0.35307391789935416</v>
      </c>
      <c r="K23" s="40">
        <v>0.41688073394495412</v>
      </c>
      <c r="L23" s="7"/>
    </row>
    <row r="24" spans="2:12" x14ac:dyDescent="0.2">
      <c r="B24" s="5"/>
      <c r="C24" s="41">
        <v>41363</v>
      </c>
      <c r="D24" s="42">
        <v>3496779</v>
      </c>
      <c r="E24" s="46">
        <v>3603</v>
      </c>
      <c r="F24" s="48">
        <v>1.0303768124894368E-3</v>
      </c>
      <c r="G24" s="42">
        <v>312</v>
      </c>
      <c r="H24" s="47">
        <v>6367.72</v>
      </c>
      <c r="I24" s="40">
        <v>1271.1499999999999</v>
      </c>
      <c r="J24" s="40">
        <v>0.36352025678488686</v>
      </c>
      <c r="K24" s="40">
        <v>0.35280321953927279</v>
      </c>
      <c r="L24" s="7"/>
    </row>
    <row r="25" spans="2:12" x14ac:dyDescent="0.2">
      <c r="B25" s="5"/>
      <c r="C25" s="41">
        <v>41364</v>
      </c>
      <c r="D25" s="42">
        <v>3424949</v>
      </c>
      <c r="E25" s="46">
        <v>3489</v>
      </c>
      <c r="F25" s="48">
        <v>1.0187013003697281E-3</v>
      </c>
      <c r="G25" s="42">
        <v>435</v>
      </c>
      <c r="H25" s="47">
        <v>8572.57</v>
      </c>
      <c r="I25" s="40">
        <v>1234.99</v>
      </c>
      <c r="J25" s="40">
        <v>0.36058639121341662</v>
      </c>
      <c r="K25" s="40">
        <v>0.35396675265118943</v>
      </c>
      <c r="L25" s="7"/>
    </row>
    <row r="26" spans="2:12" x14ac:dyDescent="0.2">
      <c r="B26" s="5"/>
      <c r="C26" s="41">
        <v>41365</v>
      </c>
      <c r="D26" s="42">
        <v>3313624</v>
      </c>
      <c r="E26" s="46">
        <v>3201</v>
      </c>
      <c r="F26" s="48">
        <v>9.6601183477666751E-4</v>
      </c>
      <c r="G26" s="42">
        <v>623</v>
      </c>
      <c r="H26" s="47">
        <v>12507.64</v>
      </c>
      <c r="I26" s="40">
        <v>1176.1499999999999</v>
      </c>
      <c r="J26" s="40">
        <v>0.35494371117543805</v>
      </c>
      <c r="K26" s="40">
        <v>0.36743205248359884</v>
      </c>
      <c r="L26" s="7"/>
    </row>
    <row r="27" spans="2:12" x14ac:dyDescent="0.2">
      <c r="B27" s="5"/>
      <c r="C27" s="41">
        <v>41366</v>
      </c>
      <c r="D27" s="42">
        <v>3330469</v>
      </c>
      <c r="E27" s="46">
        <v>3174</v>
      </c>
      <c r="F27" s="48">
        <v>9.530189291658322E-4</v>
      </c>
      <c r="G27" s="42">
        <v>553</v>
      </c>
      <c r="H27" s="47">
        <v>10030.16</v>
      </c>
      <c r="I27" s="40">
        <v>1143.7900000000002</v>
      </c>
      <c r="J27" s="40">
        <v>0.34343211121316553</v>
      </c>
      <c r="K27" s="40">
        <v>0.36036231884057979</v>
      </c>
      <c r="L27" s="7"/>
    </row>
    <row r="28" spans="2:12" x14ac:dyDescent="0.2">
      <c r="B28" s="5"/>
      <c r="C28" s="41">
        <v>41367</v>
      </c>
      <c r="D28" s="42">
        <v>4929998</v>
      </c>
      <c r="E28" s="46">
        <v>4973</v>
      </c>
      <c r="F28" s="48">
        <v>1.0087225187515288E-3</v>
      </c>
      <c r="G28" s="42">
        <v>722</v>
      </c>
      <c r="H28" s="47">
        <v>14179.560000000001</v>
      </c>
      <c r="I28" s="40">
        <v>1795.9399999999998</v>
      </c>
      <c r="J28" s="40">
        <v>0.36428818023861265</v>
      </c>
      <c r="K28" s="40">
        <v>0.36113814598833699</v>
      </c>
      <c r="L28" s="7"/>
    </row>
    <row r="29" spans="2:12" x14ac:dyDescent="0.2">
      <c r="B29" s="5"/>
      <c r="C29" s="41">
        <v>41368</v>
      </c>
      <c r="D29" s="42">
        <v>5540992</v>
      </c>
      <c r="E29" s="46">
        <v>5640</v>
      </c>
      <c r="F29" s="48">
        <v>1.017868280625563E-3</v>
      </c>
      <c r="G29" s="42">
        <v>822</v>
      </c>
      <c r="H29" s="47">
        <v>14648.460000000001</v>
      </c>
      <c r="I29" s="40">
        <v>1947.5399999999997</v>
      </c>
      <c r="J29" s="40">
        <v>0.35147858000877819</v>
      </c>
      <c r="K29" s="40">
        <v>0.34530851063829782</v>
      </c>
      <c r="L29" s="7"/>
    </row>
    <row r="30" spans="2:12" x14ac:dyDescent="0.2">
      <c r="B30" s="5"/>
      <c r="C30" s="41">
        <v>41369</v>
      </c>
      <c r="D30" s="42">
        <v>5509155</v>
      </c>
      <c r="E30" s="46">
        <v>5573</v>
      </c>
      <c r="F30" s="48">
        <v>1.0115888915813768E-3</v>
      </c>
      <c r="G30" s="42">
        <v>688</v>
      </c>
      <c r="H30" s="47">
        <v>12863.42</v>
      </c>
      <c r="I30" s="40">
        <v>1981.0400000000002</v>
      </c>
      <c r="J30" s="40">
        <v>0.35959053611670033</v>
      </c>
      <c r="K30" s="40">
        <v>0.35547102099407862</v>
      </c>
      <c r="L30" s="7"/>
    </row>
    <row r="31" spans="2:12" x14ac:dyDescent="0.2">
      <c r="B31" s="5"/>
      <c r="C31" s="41">
        <v>41370</v>
      </c>
      <c r="D31" s="42">
        <v>5576928</v>
      </c>
      <c r="E31" s="46">
        <v>6187</v>
      </c>
      <c r="F31" s="48">
        <v>1.1093921241228145E-3</v>
      </c>
      <c r="G31" s="42">
        <v>711</v>
      </c>
      <c r="H31" s="47">
        <v>13587.62</v>
      </c>
      <c r="I31" s="40">
        <v>2072.48</v>
      </c>
      <c r="J31" s="40">
        <v>0.37161677540036375</v>
      </c>
      <c r="K31" s="40">
        <v>0.33497333117827705</v>
      </c>
      <c r="L31" s="7"/>
    </row>
    <row r="32" spans="2:12" x14ac:dyDescent="0.2">
      <c r="B32" s="5"/>
      <c r="C32" s="41">
        <v>41371</v>
      </c>
      <c r="D32" s="42">
        <v>5786554</v>
      </c>
      <c r="E32" s="46">
        <v>6259</v>
      </c>
      <c r="F32" s="48">
        <v>1.0816454836505458E-3</v>
      </c>
      <c r="G32" s="42">
        <v>926</v>
      </c>
      <c r="H32" s="47">
        <v>17376.2</v>
      </c>
      <c r="I32" s="40">
        <v>2108.9599999999996</v>
      </c>
      <c r="J32" s="40">
        <v>0.36445870893108395</v>
      </c>
      <c r="K32" s="40">
        <v>0.33694839431219037</v>
      </c>
      <c r="L32" s="7"/>
    </row>
    <row r="33" spans="2:12" x14ac:dyDescent="0.2">
      <c r="B33" s="5"/>
      <c r="C33" s="9" t="s">
        <v>7</v>
      </c>
      <c r="D33" s="2">
        <f>SUM(D21:D32)</f>
        <v>48560340</v>
      </c>
      <c r="E33" s="17">
        <f>SUM(E21:E32)</f>
        <v>47827</v>
      </c>
      <c r="F33" s="18">
        <f>E33/D33</f>
        <v>9.8489837591746675E-4</v>
      </c>
      <c r="G33" s="2">
        <f>SUM(G21:G32)</f>
        <v>6389</v>
      </c>
      <c r="H33" s="3">
        <f>SUM(H21:H32)</f>
        <v>122008.16</v>
      </c>
      <c r="I33" s="3">
        <f>SUM(I21:I32)</f>
        <v>17356.91</v>
      </c>
      <c r="J33" s="3">
        <f>I33/D33*1000</f>
        <v>0.35742974616734563</v>
      </c>
      <c r="K33" s="3">
        <f>I33/E33</f>
        <v>0.36291028080373011</v>
      </c>
      <c r="L33" s="7"/>
    </row>
    <row r="34" spans="2:12" x14ac:dyDescent="0.2">
      <c r="B34" s="5"/>
      <c r="C34" s="23"/>
      <c r="D34" s="24"/>
      <c r="E34" s="25"/>
      <c r="F34" s="26"/>
      <c r="G34" s="24"/>
      <c r="H34" s="27"/>
      <c r="I34" s="27"/>
      <c r="J34" s="27"/>
      <c r="K34" s="27"/>
      <c r="L34" s="7"/>
    </row>
    <row r="35" spans="2:12" x14ac:dyDescent="0.15">
      <c r="B35" s="5"/>
      <c r="C35" s="28" t="s">
        <v>8</v>
      </c>
      <c r="D35" s="6"/>
      <c r="E35" s="6"/>
      <c r="F35" s="19"/>
      <c r="G35" s="6"/>
      <c r="H35" s="6"/>
      <c r="I35" s="6"/>
      <c r="J35" s="6"/>
      <c r="K35" s="6"/>
      <c r="L35" s="7"/>
    </row>
    <row r="36" spans="2:12" x14ac:dyDescent="0.15">
      <c r="B36" s="5"/>
      <c r="C36" s="56" t="s">
        <v>25</v>
      </c>
      <c r="D36" s="57" t="s">
        <v>17</v>
      </c>
      <c r="E36" s="58" t="s">
        <v>18</v>
      </c>
      <c r="F36" s="63" t="s">
        <v>19</v>
      </c>
      <c r="G36" s="56" t="s">
        <v>20</v>
      </c>
      <c r="H36" s="57" t="s">
        <v>21</v>
      </c>
      <c r="I36" s="57" t="s">
        <v>22</v>
      </c>
      <c r="J36" s="57" t="s">
        <v>23</v>
      </c>
      <c r="K36" s="57" t="s">
        <v>24</v>
      </c>
      <c r="L36" s="7"/>
    </row>
    <row r="37" spans="2:12" x14ac:dyDescent="0.2">
      <c r="B37" s="5"/>
      <c r="C37" s="51" t="s">
        <v>27</v>
      </c>
      <c r="D37" s="55">
        <v>6051287</v>
      </c>
      <c r="E37" s="59">
        <v>5049</v>
      </c>
      <c r="F37" s="61">
        <v>8.3436796172450583E-4</v>
      </c>
      <c r="G37" s="55">
        <v>308</v>
      </c>
      <c r="H37" s="60">
        <v>5413.85</v>
      </c>
      <c r="I37" s="50">
        <v>2415.81</v>
      </c>
      <c r="J37" s="50">
        <v>0.39922251250023338</v>
      </c>
      <c r="K37" s="50">
        <v>0.47847296494355318</v>
      </c>
      <c r="L37" s="7"/>
    </row>
    <row r="38" spans="2:12" x14ac:dyDescent="0.2">
      <c r="B38" s="5"/>
      <c r="C38" s="51" t="s">
        <v>28</v>
      </c>
      <c r="D38" s="55">
        <v>10330437</v>
      </c>
      <c r="E38" s="59">
        <v>12717</v>
      </c>
      <c r="F38" s="61">
        <v>1.2310224630381077E-3</v>
      </c>
      <c r="G38" s="55">
        <v>195</v>
      </c>
      <c r="H38" s="60">
        <v>3641.13</v>
      </c>
      <c r="I38" s="50">
        <v>3748.4700000000003</v>
      </c>
      <c r="J38" s="50">
        <v>0.36285686655850091</v>
      </c>
      <c r="K38" s="50">
        <v>0.29476055673507906</v>
      </c>
      <c r="L38" s="7"/>
    </row>
    <row r="39" spans="2:12" x14ac:dyDescent="0.2">
      <c r="B39" s="5"/>
      <c r="C39" s="51" t="s">
        <v>29</v>
      </c>
      <c r="D39" s="55">
        <v>5031847</v>
      </c>
      <c r="E39" s="59">
        <v>2832</v>
      </c>
      <c r="F39" s="61">
        <v>5.6281520483432825E-4</v>
      </c>
      <c r="G39" s="55">
        <v>109</v>
      </c>
      <c r="H39" s="60">
        <v>1930.4099999999999</v>
      </c>
      <c r="I39" s="50">
        <v>2009.7699999999998</v>
      </c>
      <c r="J39" s="50">
        <v>0.3994099979589999</v>
      </c>
      <c r="K39" s="50">
        <v>0.70966454802259882</v>
      </c>
      <c r="L39" s="7"/>
    </row>
    <row r="40" spans="2:12" x14ac:dyDescent="0.2">
      <c r="B40" s="5"/>
      <c r="C40" s="51" t="s">
        <v>30</v>
      </c>
      <c r="D40" s="55">
        <v>7412791</v>
      </c>
      <c r="E40" s="59">
        <v>7597</v>
      </c>
      <c r="F40" s="61">
        <v>1.0248501542806212E-3</v>
      </c>
      <c r="G40" s="55">
        <v>336</v>
      </c>
      <c r="H40" s="60">
        <v>5683.64</v>
      </c>
      <c r="I40" s="50">
        <v>2331.0500000000002</v>
      </c>
      <c r="J40" s="50">
        <v>0.31446320286110863</v>
      </c>
      <c r="K40" s="50">
        <v>0.30683822561537449</v>
      </c>
      <c r="L40" s="7"/>
    </row>
    <row r="41" spans="2:12" x14ac:dyDescent="0.2">
      <c r="B41" s="5"/>
      <c r="C41" s="51" t="s">
        <v>31</v>
      </c>
      <c r="D41" s="55">
        <v>6530737</v>
      </c>
      <c r="E41" s="59">
        <v>6363</v>
      </c>
      <c r="F41" s="61">
        <v>9.7431576252419907E-4</v>
      </c>
      <c r="G41" s="55">
        <v>52</v>
      </c>
      <c r="H41" s="60">
        <v>990.59</v>
      </c>
      <c r="I41" s="50">
        <v>1999.3700000000001</v>
      </c>
      <c r="J41" s="50">
        <v>0.30614768287254568</v>
      </c>
      <c r="K41" s="50">
        <v>0.31421813609932425</v>
      </c>
      <c r="L41" s="7"/>
    </row>
    <row r="42" spans="2:12" x14ac:dyDescent="0.2">
      <c r="B42" s="5"/>
      <c r="C42" s="51" t="s">
        <v>32</v>
      </c>
      <c r="D42" s="55">
        <v>8651145</v>
      </c>
      <c r="E42" s="59">
        <v>8536</v>
      </c>
      <c r="F42" s="61">
        <v>9.8669020112366625E-4</v>
      </c>
      <c r="G42" s="55">
        <v>96</v>
      </c>
      <c r="H42" s="60">
        <v>2516.31</v>
      </c>
      <c r="I42" s="50">
        <v>2371.21</v>
      </c>
      <c r="J42" s="50">
        <v>0.27409204215164579</v>
      </c>
      <c r="K42" s="50">
        <v>0.27778936269915649</v>
      </c>
      <c r="L42" s="7"/>
    </row>
    <row r="43" spans="2:12" x14ac:dyDescent="0.2">
      <c r="B43" s="5"/>
      <c r="C43" s="51" t="s">
        <v>33</v>
      </c>
      <c r="D43" s="55">
        <v>1678982</v>
      </c>
      <c r="E43" s="59">
        <v>1034</v>
      </c>
      <c r="F43" s="61">
        <v>6.1584936586574484E-4</v>
      </c>
      <c r="G43" s="55">
        <v>466</v>
      </c>
      <c r="H43" s="60">
        <v>8445.18</v>
      </c>
      <c r="I43" s="50">
        <v>740.04</v>
      </c>
      <c r="J43" s="50">
        <v>0.44076708386391278</v>
      </c>
      <c r="K43" s="50">
        <v>0.71570599613152797</v>
      </c>
      <c r="L43" s="7"/>
    </row>
    <row r="44" spans="2:12" x14ac:dyDescent="0.2">
      <c r="B44" s="5"/>
      <c r="C44" s="51" t="s">
        <v>34</v>
      </c>
      <c r="D44" s="55">
        <v>529967</v>
      </c>
      <c r="E44" s="59">
        <v>231</v>
      </c>
      <c r="F44" s="61">
        <v>4.3587619606503804E-4</v>
      </c>
      <c r="G44" s="55">
        <v>845</v>
      </c>
      <c r="H44" s="60">
        <v>15362.19</v>
      </c>
      <c r="I44" s="50">
        <v>174.88000000000002</v>
      </c>
      <c r="J44" s="50">
        <v>0.32998281025044962</v>
      </c>
      <c r="K44" s="50">
        <v>0.7570562770562772</v>
      </c>
      <c r="L44" s="7"/>
    </row>
    <row r="45" spans="2:12" x14ac:dyDescent="0.2">
      <c r="B45" s="5"/>
      <c r="C45" s="51" t="s">
        <v>35</v>
      </c>
      <c r="D45" s="55">
        <v>688710</v>
      </c>
      <c r="E45" s="59">
        <v>345</v>
      </c>
      <c r="F45" s="61">
        <v>5.0093653351918803E-4</v>
      </c>
      <c r="G45" s="55">
        <v>68</v>
      </c>
      <c r="H45" s="60">
        <v>1583.82</v>
      </c>
      <c r="I45" s="50">
        <v>247.81</v>
      </c>
      <c r="J45" s="50">
        <v>0.35981763006199996</v>
      </c>
      <c r="K45" s="50">
        <v>0.71828985507246379</v>
      </c>
      <c r="L45" s="7"/>
    </row>
    <row r="46" spans="2:12" x14ac:dyDescent="0.2">
      <c r="B46" s="5"/>
      <c r="C46" s="51" t="s">
        <v>36</v>
      </c>
      <c r="D46" s="55">
        <v>333363</v>
      </c>
      <c r="E46" s="59">
        <v>142</v>
      </c>
      <c r="F46" s="61">
        <v>4.2596208937404571E-4</v>
      </c>
      <c r="G46" s="55">
        <v>155</v>
      </c>
      <c r="H46" s="60">
        <v>2141.6</v>
      </c>
      <c r="I46" s="50">
        <v>119.39</v>
      </c>
      <c r="J46" s="50">
        <v>0.35813812570681208</v>
      </c>
      <c r="K46" s="50">
        <v>0.84077464788732392</v>
      </c>
      <c r="L46" s="7"/>
    </row>
    <row r="47" spans="2:12" x14ac:dyDescent="0.2">
      <c r="B47" s="5"/>
      <c r="C47" s="51" t="s">
        <v>37</v>
      </c>
      <c r="D47" s="55">
        <v>663251</v>
      </c>
      <c r="E47" s="59">
        <v>1807</v>
      </c>
      <c r="F47" s="61">
        <v>2.7244587644798123E-3</v>
      </c>
      <c r="G47" s="55">
        <v>324</v>
      </c>
      <c r="H47" s="60">
        <v>7354.58</v>
      </c>
      <c r="I47" s="50">
        <v>607.94000000000005</v>
      </c>
      <c r="J47" s="50">
        <v>0.91660623202980485</v>
      </c>
      <c r="K47" s="50">
        <v>0.33643608190370783</v>
      </c>
      <c r="L47" s="7"/>
    </row>
    <row r="48" spans="2:12" x14ac:dyDescent="0.2">
      <c r="B48" s="5"/>
      <c r="C48" s="51" t="s">
        <v>38</v>
      </c>
      <c r="D48" s="55">
        <v>207166</v>
      </c>
      <c r="E48" s="59">
        <v>475</v>
      </c>
      <c r="F48" s="61">
        <v>2.2928472818898853E-3</v>
      </c>
      <c r="G48" s="55">
        <v>944</v>
      </c>
      <c r="H48" s="60">
        <v>18054.37</v>
      </c>
      <c r="I48" s="50">
        <v>179.19000000000003</v>
      </c>
      <c r="J48" s="50">
        <v>0.86495853566704972</v>
      </c>
      <c r="K48" s="50">
        <v>0.37724210526315793</v>
      </c>
      <c r="L48" s="7"/>
    </row>
    <row r="49" spans="1:13" x14ac:dyDescent="0.2">
      <c r="B49" s="5"/>
      <c r="C49" s="51" t="s">
        <v>39</v>
      </c>
      <c r="D49" s="55">
        <v>107729</v>
      </c>
      <c r="E49" s="59">
        <v>372</v>
      </c>
      <c r="F49" s="61">
        <v>3.4531091906543272E-3</v>
      </c>
      <c r="G49" s="55">
        <v>143</v>
      </c>
      <c r="H49" s="60">
        <v>3245.38</v>
      </c>
      <c r="I49" s="50">
        <v>100.89999999999999</v>
      </c>
      <c r="J49" s="50">
        <v>0.93660945520704719</v>
      </c>
      <c r="K49" s="50">
        <v>0.27123655913978495</v>
      </c>
      <c r="L49" s="7"/>
    </row>
    <row r="50" spans="1:13" x14ac:dyDescent="0.2">
      <c r="B50" s="5"/>
      <c r="C50" s="51" t="s">
        <v>40</v>
      </c>
      <c r="D50" s="55">
        <v>219669</v>
      </c>
      <c r="E50" s="59">
        <v>172</v>
      </c>
      <c r="F50" s="61">
        <v>7.8299623524484563E-4</v>
      </c>
      <c r="G50" s="55">
        <v>274</v>
      </c>
      <c r="H50" s="60">
        <v>3978.95</v>
      </c>
      <c r="I50" s="50">
        <v>182.49</v>
      </c>
      <c r="J50" s="50">
        <v>0.83074990098739465</v>
      </c>
      <c r="K50" s="50">
        <v>1.0609883720930233</v>
      </c>
      <c r="L50" s="7"/>
    </row>
    <row r="51" spans="1:13" x14ac:dyDescent="0.2">
      <c r="B51" s="5"/>
      <c r="C51" s="51" t="s">
        <v>41</v>
      </c>
      <c r="D51" s="55">
        <v>28473</v>
      </c>
      <c r="E51" s="59">
        <v>36</v>
      </c>
      <c r="F51" s="61">
        <v>1.2643557054051206E-3</v>
      </c>
      <c r="G51" s="55">
        <v>1703</v>
      </c>
      <c r="H51" s="60">
        <v>33747.81</v>
      </c>
      <c r="I51" s="50">
        <v>31.13</v>
      </c>
      <c r="J51" s="50">
        <v>1.0933164752572613</v>
      </c>
      <c r="K51" s="50">
        <v>0.86472222222222217</v>
      </c>
      <c r="L51" s="7"/>
    </row>
    <row r="52" spans="1:13" x14ac:dyDescent="0.2">
      <c r="B52" s="5"/>
      <c r="C52" s="51" t="s">
        <v>42</v>
      </c>
      <c r="D52" s="55">
        <v>78750</v>
      </c>
      <c r="E52" s="59">
        <v>95</v>
      </c>
      <c r="F52" s="61">
        <v>1.2063492063492064E-3</v>
      </c>
      <c r="G52" s="55">
        <v>102</v>
      </c>
      <c r="H52" s="60">
        <v>2818.72</v>
      </c>
      <c r="I52" s="50">
        <v>81.499999999999986</v>
      </c>
      <c r="J52" s="50">
        <v>1.0349206349206346</v>
      </c>
      <c r="K52" s="50">
        <v>0.85789473684210515</v>
      </c>
      <c r="L52" s="7"/>
    </row>
    <row r="53" spans="1:13" x14ac:dyDescent="0.2">
      <c r="B53" s="5"/>
      <c r="C53" s="51" t="s">
        <v>43</v>
      </c>
      <c r="D53" s="55">
        <v>16036</v>
      </c>
      <c r="E53" s="59">
        <v>24</v>
      </c>
      <c r="F53" s="61">
        <v>1.4966325767024195E-3</v>
      </c>
      <c r="G53" s="55">
        <v>269</v>
      </c>
      <c r="H53" s="60">
        <v>5099.63</v>
      </c>
      <c r="I53" s="50">
        <v>15.96</v>
      </c>
      <c r="J53" s="50">
        <v>0.99526066350710907</v>
      </c>
      <c r="K53" s="50">
        <v>0.66500000000000004</v>
      </c>
      <c r="L53" s="7"/>
    </row>
    <row r="54" spans="1:13" x14ac:dyDescent="0.2">
      <c r="B54" s="5"/>
      <c r="C54" s="54" t="s">
        <v>26</v>
      </c>
      <c r="D54" s="52">
        <v>48560340</v>
      </c>
      <c r="E54" s="52">
        <v>47827</v>
      </c>
      <c r="F54" s="62">
        <v>9.8105524039171564E-4</v>
      </c>
      <c r="G54" s="52">
        <v>6389</v>
      </c>
      <c r="H54" s="64">
        <v>122008.16</v>
      </c>
      <c r="I54" s="64">
        <v>17356.91</v>
      </c>
      <c r="J54" s="53">
        <v>0.35742974616734563</v>
      </c>
      <c r="K54" s="53">
        <v>0.36291028080373011</v>
      </c>
      <c r="L54" s="7"/>
    </row>
    <row r="55" spans="1:13" x14ac:dyDescent="0.2">
      <c r="B55" s="5"/>
      <c r="C55" s="23"/>
      <c r="D55" s="24"/>
      <c r="E55" s="25"/>
      <c r="F55" s="26"/>
      <c r="G55" s="24"/>
      <c r="H55" s="27"/>
      <c r="I55" s="27"/>
      <c r="J55" s="27"/>
      <c r="K55" s="27"/>
      <c r="L55" s="7"/>
    </row>
    <row r="56" spans="1:13" x14ac:dyDescent="0.15">
      <c r="B56" s="5"/>
      <c r="C56" s="35" t="s">
        <v>5</v>
      </c>
      <c r="D56" s="15"/>
      <c r="E56" s="15"/>
      <c r="F56" s="21"/>
      <c r="G56" s="6"/>
      <c r="H56" s="6"/>
      <c r="I56" s="6"/>
      <c r="J56" s="6"/>
      <c r="K56" s="6"/>
      <c r="L56" s="7"/>
    </row>
    <row r="57" spans="1:13" x14ac:dyDescent="0.15">
      <c r="B57" s="5"/>
      <c r="C57" s="6"/>
      <c r="D57" s="6"/>
      <c r="E57" s="6"/>
      <c r="F57" s="19"/>
      <c r="G57" s="6"/>
      <c r="H57" s="6"/>
      <c r="I57" s="6"/>
      <c r="J57" s="6"/>
      <c r="K57" s="6"/>
      <c r="L57" s="7"/>
    </row>
    <row r="58" spans="1:13" x14ac:dyDescent="0.15">
      <c r="B58" s="5"/>
      <c r="C58" s="6"/>
      <c r="D58" s="6"/>
      <c r="E58" s="6"/>
      <c r="F58" s="19"/>
      <c r="G58" s="6"/>
      <c r="H58" s="6"/>
      <c r="I58" s="6"/>
      <c r="J58" s="6"/>
      <c r="K58" s="6"/>
      <c r="L58" s="7"/>
    </row>
    <row r="59" spans="1:13" x14ac:dyDescent="0.15">
      <c r="A59" s="6"/>
      <c r="B59" s="5"/>
      <c r="C59" s="6"/>
      <c r="D59" s="35"/>
      <c r="E59" s="35"/>
      <c r="F59" s="36"/>
      <c r="G59" s="6"/>
      <c r="H59" s="6"/>
      <c r="I59" s="6"/>
      <c r="J59" s="6"/>
      <c r="K59" s="6"/>
      <c r="L59" s="7"/>
      <c r="M59" s="6"/>
    </row>
    <row r="60" spans="1:13" x14ac:dyDescent="0.15">
      <c r="A60" s="6"/>
      <c r="B60" s="5"/>
      <c r="C60" s="35"/>
      <c r="D60" s="35"/>
      <c r="E60" s="35"/>
      <c r="F60" s="36"/>
      <c r="G60" s="6"/>
      <c r="H60" s="6"/>
      <c r="I60" s="6"/>
      <c r="J60" s="6"/>
      <c r="K60" s="6"/>
      <c r="L60" s="7"/>
      <c r="M60" s="6"/>
    </row>
    <row r="61" spans="1:13" x14ac:dyDescent="0.15">
      <c r="A61" s="6"/>
      <c r="B61" s="10"/>
      <c r="C61" s="38"/>
      <c r="D61" s="38"/>
      <c r="E61" s="38"/>
      <c r="F61" s="39"/>
      <c r="G61" s="11"/>
      <c r="H61" s="11"/>
      <c r="I61" s="11"/>
      <c r="J61" s="11"/>
      <c r="K61" s="11"/>
      <c r="L61" s="12"/>
      <c r="M61" s="6"/>
    </row>
    <row r="62" spans="1:13" x14ac:dyDescent="0.15">
      <c r="A62" s="6"/>
      <c r="B62" s="6"/>
      <c r="C62" s="35"/>
      <c r="D62" s="35"/>
      <c r="E62" s="35"/>
      <c r="F62" s="36"/>
      <c r="G62" s="6"/>
      <c r="H62" s="6"/>
      <c r="I62" s="6"/>
      <c r="J62" s="6"/>
      <c r="K62" s="6"/>
      <c r="L62" s="6"/>
      <c r="M62" s="6"/>
    </row>
    <row r="63" spans="1:13" x14ac:dyDescent="0.15">
      <c r="A63" s="6"/>
      <c r="B63" s="6"/>
      <c r="C63" s="6"/>
      <c r="D63" s="6"/>
      <c r="E63" s="6"/>
      <c r="F63" s="19"/>
      <c r="G63" s="6"/>
      <c r="H63" s="6"/>
      <c r="I63" s="6"/>
      <c r="J63" s="6"/>
      <c r="K63" s="6"/>
      <c r="L63" s="6"/>
      <c r="M63" s="6"/>
    </row>
    <row r="64" spans="1:13" x14ac:dyDescent="0.15">
      <c r="A64" s="6"/>
      <c r="B64" s="6"/>
      <c r="C64" s="6"/>
      <c r="D64" s="6"/>
      <c r="E64" s="6"/>
      <c r="F64" s="19"/>
      <c r="G64" s="6"/>
      <c r="H64" s="6"/>
      <c r="I64" s="6"/>
      <c r="J64" s="6"/>
      <c r="K64" s="6"/>
      <c r="L64" s="6"/>
      <c r="M64" s="6"/>
    </row>
    <row r="65" spans="1:13" x14ac:dyDescent="0.15">
      <c r="A65" s="6"/>
      <c r="B65" s="6"/>
      <c r="C65" s="6"/>
      <c r="D65" s="6"/>
      <c r="E65" s="6"/>
      <c r="F65" s="19"/>
      <c r="G65" s="6"/>
      <c r="H65" s="6"/>
      <c r="I65" s="6"/>
      <c r="J65" s="6"/>
      <c r="K65" s="6"/>
      <c r="L65" s="6"/>
      <c r="M65" s="6"/>
    </row>
    <row r="66" spans="1:13" x14ac:dyDescent="0.15">
      <c r="A66" s="6"/>
      <c r="B66" s="6"/>
      <c r="C66" s="6"/>
      <c r="D66" s="6"/>
      <c r="E66" s="6"/>
      <c r="F66" s="19"/>
      <c r="G66" s="6"/>
      <c r="H66" s="6"/>
      <c r="I66" s="6"/>
      <c r="J66" s="6"/>
      <c r="K66" s="6"/>
      <c r="L66" s="6"/>
      <c r="M66" s="6"/>
    </row>
    <row r="67" spans="1:13" x14ac:dyDescent="0.15">
      <c r="A67" s="6"/>
      <c r="B67" s="6"/>
      <c r="C67" s="6"/>
      <c r="D67" s="6"/>
      <c r="E67" s="6"/>
      <c r="F67" s="19"/>
      <c r="G67" s="6"/>
      <c r="H67" s="6"/>
      <c r="I67" s="6"/>
      <c r="J67" s="6"/>
      <c r="K67" s="6"/>
      <c r="L67" s="6"/>
      <c r="M67" s="6"/>
    </row>
    <row r="68" spans="1:13" x14ac:dyDescent="0.15">
      <c r="A68" s="6"/>
      <c r="B68" s="6"/>
      <c r="C68" s="6"/>
      <c r="D68" s="6"/>
      <c r="E68" s="6"/>
      <c r="F68" s="19"/>
      <c r="G68" s="6"/>
      <c r="H68" s="6"/>
      <c r="I68" s="6"/>
      <c r="J68" s="6"/>
      <c r="K68" s="6"/>
      <c r="L68" s="6"/>
      <c r="M68" s="6"/>
    </row>
    <row r="69" spans="1:13" x14ac:dyDescent="0.15">
      <c r="A69" s="6"/>
      <c r="B69" s="6"/>
      <c r="C69" s="6"/>
      <c r="D69" s="6"/>
      <c r="E69" s="6"/>
      <c r="F69" s="19"/>
      <c r="G69" s="6"/>
      <c r="H69" s="6"/>
      <c r="I69" s="6"/>
      <c r="J69" s="6"/>
      <c r="K69" s="6"/>
      <c r="L69" s="6"/>
      <c r="M69" s="6"/>
    </row>
    <row r="70" spans="1:13" x14ac:dyDescent="0.15">
      <c r="A70" s="6"/>
      <c r="B70" s="6"/>
      <c r="C70" s="6"/>
      <c r="D70" s="6"/>
      <c r="E70" s="6"/>
      <c r="F70" s="19"/>
      <c r="G70" s="6"/>
      <c r="H70" s="6"/>
      <c r="I70" s="6"/>
      <c r="J70" s="6"/>
      <c r="K70" s="6"/>
      <c r="L70" s="6"/>
      <c r="M70" s="6"/>
    </row>
    <row r="71" spans="1:13" x14ac:dyDescent="0.15">
      <c r="A71" s="6"/>
      <c r="B71" s="6"/>
      <c r="C71" s="6"/>
      <c r="D71" s="6"/>
      <c r="E71" s="6"/>
      <c r="F71" s="19"/>
      <c r="G71" s="6"/>
      <c r="H71" s="6"/>
      <c r="I71" s="6"/>
      <c r="J71" s="6"/>
      <c r="K71" s="6"/>
      <c r="L71" s="6"/>
      <c r="M71" s="6"/>
    </row>
    <row r="72" spans="1:13" x14ac:dyDescent="0.15">
      <c r="A72" s="6"/>
      <c r="B72" s="6"/>
      <c r="C72" s="6"/>
      <c r="D72" s="6"/>
      <c r="E72" s="6"/>
      <c r="F72" s="19"/>
      <c r="G72" s="6"/>
      <c r="H72" s="6"/>
      <c r="I72" s="6"/>
      <c r="J72" s="6"/>
      <c r="K72" s="6"/>
      <c r="L72" s="6"/>
      <c r="M72" s="6"/>
    </row>
    <row r="73" spans="1:13" x14ac:dyDescent="0.15">
      <c r="A73" s="6"/>
      <c r="B73" s="6"/>
      <c r="C73" s="6"/>
      <c r="D73" s="6"/>
      <c r="E73" s="6"/>
      <c r="F73" s="19"/>
      <c r="G73" s="6"/>
      <c r="H73" s="6"/>
      <c r="I73" s="6"/>
      <c r="J73" s="6"/>
      <c r="K73" s="6"/>
      <c r="L73" s="6"/>
      <c r="M73" s="6"/>
    </row>
    <row r="74" spans="1:13" x14ac:dyDescent="0.15">
      <c r="A74" s="6"/>
      <c r="B74" s="6"/>
      <c r="C74" s="6"/>
      <c r="D74" s="6"/>
      <c r="E74" s="6"/>
      <c r="F74" s="19"/>
      <c r="G74" s="6"/>
      <c r="H74" s="6"/>
      <c r="I74" s="6"/>
      <c r="J74" s="6"/>
      <c r="K74" s="6"/>
      <c r="L74" s="6"/>
      <c r="M74" s="6"/>
    </row>
    <row r="75" spans="1:13" x14ac:dyDescent="0.15">
      <c r="A75" s="6"/>
      <c r="B75" s="37"/>
      <c r="C75" s="6"/>
      <c r="D75" s="6"/>
      <c r="E75" s="6"/>
      <c r="F75" s="19"/>
      <c r="G75" s="6"/>
      <c r="H75" s="6"/>
      <c r="I75" s="6"/>
      <c r="J75" s="6"/>
      <c r="K75" s="6"/>
      <c r="L75" s="6"/>
      <c r="M75" s="6"/>
    </row>
    <row r="76" spans="1:13" x14ac:dyDescent="0.15">
      <c r="B76" s="13"/>
    </row>
    <row r="77" spans="1:13" x14ac:dyDescent="0.15">
      <c r="B77" s="13"/>
    </row>
    <row r="78" spans="1:13" x14ac:dyDescent="0.15">
      <c r="B78" s="13"/>
    </row>
  </sheetData>
  <mergeCells count="1">
    <mergeCell ref="B2:L2"/>
  </mergeCells>
  <phoneticPr fontId="3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2" sqref="I32"/>
    </sheetView>
  </sheetViews>
  <sheetFormatPr defaultRowHeight="13.5" x14ac:dyDescent="0.15"/>
  <sheetData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第一周（3-26～4-7）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Julia.zhou</cp:lastModifiedBy>
  <dcterms:created xsi:type="dcterms:W3CDTF">2012-04-13T03:17:55Z</dcterms:created>
  <dcterms:modified xsi:type="dcterms:W3CDTF">2013-04-17T09:52:37Z</dcterms:modified>
</cp:coreProperties>
</file>