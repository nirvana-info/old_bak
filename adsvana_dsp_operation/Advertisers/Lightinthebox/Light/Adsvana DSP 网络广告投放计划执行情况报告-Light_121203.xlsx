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0" windowWidth="18675" windowHeight="7935" firstSheet="4" activeTab="7"/>
  </bookViews>
  <sheets>
    <sheet name="第一周（10-11～10-14）" sheetId="20" r:id="rId1"/>
    <sheet name="第二周（10-15～10-21）" sheetId="21" r:id="rId2"/>
    <sheet name="第三周（10-22～10-28）" sheetId="22" r:id="rId3"/>
    <sheet name="第四周（10-29～11-04）" sheetId="23" r:id="rId4"/>
    <sheet name="第五周（11-05～11-11）" sheetId="24" r:id="rId5"/>
    <sheet name="第六周（11-12～11-18）" sheetId="25" r:id="rId6"/>
    <sheet name="第七周（11-19～11-25)" sheetId="26" r:id="rId7"/>
    <sheet name="第八周（11-26～12-02)" sheetId="27" r:id="rId8"/>
    <sheet name="Sheet2" sheetId="17" r:id="rId9"/>
  </sheets>
  <calcPr calcId="125725"/>
</workbook>
</file>

<file path=xl/calcChain.xml><?xml version="1.0" encoding="utf-8"?>
<calcChain xmlns="http://schemas.openxmlformats.org/spreadsheetml/2006/main">
  <c r="I29" i="27"/>
  <c r="J29" s="1"/>
  <c r="H29"/>
  <c r="G29"/>
  <c r="E29"/>
  <c r="F29" s="1"/>
  <c r="D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J23" i="26"/>
  <c r="K23"/>
  <c r="J24"/>
  <c r="K24"/>
  <c r="J25"/>
  <c r="K25"/>
  <c r="J26"/>
  <c r="K26"/>
  <c r="J27"/>
  <c r="K27"/>
  <c r="J28"/>
  <c r="K28"/>
  <c r="K22"/>
  <c r="J22"/>
  <c r="F23"/>
  <c r="F24"/>
  <c r="F25"/>
  <c r="F26"/>
  <c r="F27"/>
  <c r="F28"/>
  <c r="F29"/>
  <c r="F22"/>
  <c r="I29"/>
  <c r="H29"/>
  <c r="G29"/>
  <c r="E29"/>
  <c r="D29"/>
  <c r="I31" i="25"/>
  <c r="J31" s="1"/>
  <c r="H31"/>
  <c r="G31"/>
  <c r="E31"/>
  <c r="F31" s="1"/>
  <c r="D31"/>
  <c r="K30"/>
  <c r="J30"/>
  <c r="F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3" i="24"/>
  <c r="J23"/>
  <c r="F23"/>
  <c r="I30"/>
  <c r="H30"/>
  <c r="G30"/>
  <c r="E30"/>
  <c r="D30"/>
  <c r="K29"/>
  <c r="J29"/>
  <c r="F29"/>
  <c r="K28"/>
  <c r="J28"/>
  <c r="F28"/>
  <c r="K27"/>
  <c r="J27"/>
  <c r="F27"/>
  <c r="K26"/>
  <c r="J26"/>
  <c r="F26"/>
  <c r="K25"/>
  <c r="J25"/>
  <c r="F25"/>
  <c r="K24"/>
  <c r="J24"/>
  <c r="F24"/>
  <c r="K29" i="23"/>
  <c r="J29"/>
  <c r="F29"/>
  <c r="K28"/>
  <c r="J28"/>
  <c r="F28"/>
  <c r="K27"/>
  <c r="J27"/>
  <c r="F27"/>
  <c r="K26"/>
  <c r="J26"/>
  <c r="F26"/>
  <c r="K25"/>
  <c r="J25"/>
  <c r="F25"/>
  <c r="K24"/>
  <c r="J24"/>
  <c r="F24"/>
  <c r="K23"/>
  <c r="J23"/>
  <c r="F23"/>
  <c r="D30"/>
  <c r="I30"/>
  <c r="H30"/>
  <c r="G30"/>
  <c r="E30"/>
  <c r="K28" i="22"/>
  <c r="J28"/>
  <c r="F28"/>
  <c r="K27"/>
  <c r="J27"/>
  <c r="F27"/>
  <c r="K26"/>
  <c r="J26"/>
  <c r="F26"/>
  <c r="K25"/>
  <c r="J25"/>
  <c r="F25"/>
  <c r="K24"/>
  <c r="J24"/>
  <c r="F24"/>
  <c r="K23"/>
  <c r="J23"/>
  <c r="F23"/>
  <c r="K22"/>
  <c r="J22"/>
  <c r="F22"/>
  <c r="I29"/>
  <c r="H29"/>
  <c r="G29"/>
  <c r="E29"/>
  <c r="D29"/>
  <c r="K31" i="21"/>
  <c r="D31"/>
  <c r="J31" s="1"/>
  <c r="K30"/>
  <c r="D30"/>
  <c r="J30" s="1"/>
  <c r="K29"/>
  <c r="D29"/>
  <c r="J29" s="1"/>
  <c r="K28"/>
  <c r="F28"/>
  <c r="D28"/>
  <c r="J28" s="1"/>
  <c r="K27"/>
  <c r="D27"/>
  <c r="J27" s="1"/>
  <c r="K26"/>
  <c r="J26"/>
  <c r="F26"/>
  <c r="K25"/>
  <c r="J25"/>
  <c r="F25"/>
  <c r="I32"/>
  <c r="H32"/>
  <c r="G32"/>
  <c r="E32"/>
  <c r="D32"/>
  <c r="K31" i="20"/>
  <c r="D31"/>
  <c r="J31" s="1"/>
  <c r="K30"/>
  <c r="D30"/>
  <c r="J30" s="1"/>
  <c r="K28"/>
  <c r="J28"/>
  <c r="F28"/>
  <c r="I32"/>
  <c r="H32"/>
  <c r="G32"/>
  <c r="E32"/>
  <c r="K29" i="27" l="1"/>
  <c r="J29" i="26"/>
  <c r="K29"/>
  <c r="K31" i="25"/>
  <c r="J30" i="24"/>
  <c r="F30"/>
  <c r="K30"/>
  <c r="J30" i="23"/>
  <c r="F30"/>
  <c r="K30"/>
  <c r="J29" i="22"/>
  <c r="F29"/>
  <c r="K29"/>
  <c r="F27" i="21"/>
  <c r="F29"/>
  <c r="F30"/>
  <c r="F31"/>
  <c r="J32"/>
  <c r="F32"/>
  <c r="K32"/>
  <c r="D32" i="20"/>
  <c r="F30"/>
  <c r="F31"/>
  <c r="J32"/>
  <c r="F32"/>
  <c r="K32"/>
</calcChain>
</file>

<file path=xl/sharedStrings.xml><?xml version="1.0" encoding="utf-8"?>
<sst xmlns="http://schemas.openxmlformats.org/spreadsheetml/2006/main" count="147" uniqueCount="65">
  <si>
    <r>
      <rPr>
        <b/>
        <sz val="10"/>
        <color theme="1"/>
        <rFont val="宋体"/>
        <family val="3"/>
        <charset val="134"/>
      </rPr>
      <t>执行时间</t>
    </r>
    <phoneticPr fontId="2" type="noConversion"/>
  </si>
  <si>
    <r>
      <rPr>
        <b/>
        <sz val="10"/>
        <color theme="0"/>
        <rFont val="宋体"/>
        <family val="3"/>
        <charset val="134"/>
      </rPr>
      <t>开始日期</t>
    </r>
    <phoneticPr fontId="2" type="noConversion"/>
  </si>
  <si>
    <r>
      <rPr>
        <b/>
        <sz val="10"/>
        <color theme="0"/>
        <rFont val="宋体"/>
        <family val="3"/>
        <charset val="134"/>
      </rPr>
      <t>结束日期</t>
    </r>
    <phoneticPr fontId="2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</si>
  <si>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</si>
  <si>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</si>
  <si>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</si>
  <si>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</si>
  <si>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</si>
  <si>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</si>
  <si>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</si>
  <si>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</si>
  <si>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</si>
  <si>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t>点击数</t>
    <phoneticPr fontId="2" type="noConversion"/>
  </si>
  <si>
    <t>阶段小结</t>
    <phoneticPr fontId="2" type="noConversion"/>
  </si>
  <si>
    <t>每日数据概览</t>
    <phoneticPr fontId="2" type="noConversion"/>
  </si>
  <si>
    <r>
      <rPr>
        <sz val="11"/>
        <color theme="1"/>
        <rFont val="宋体"/>
        <family val="3"/>
        <charset val="134"/>
      </rPr>
      <t>注</t>
    </r>
    <r>
      <rPr>
        <sz val="11"/>
        <color theme="1"/>
        <rFont val="Arial"/>
        <family val="2"/>
      </rPr>
      <t xml:space="preserve">: </t>
    </r>
    <r>
      <rPr>
        <sz val="11"/>
        <color theme="1"/>
        <rFont val="宋体"/>
        <family val="3"/>
        <charset val="134"/>
      </rPr>
      <t>所有日期为美国太平洋时区，更多报表详见平台</t>
    </r>
    <phoneticPr fontId="25" type="noConversion"/>
  </si>
  <si>
    <t>-</t>
    <phoneticPr fontId="33" type="noConversion"/>
  </si>
  <si>
    <r>
      <rPr>
        <b/>
        <sz val="10"/>
        <color theme="1"/>
        <rFont val="宋体"/>
        <family val="3"/>
        <charset val="134"/>
      </rPr>
      <t xml:space="preserve">上周总结：
</t>
    </r>
    <r>
      <rPr>
        <sz val="10"/>
        <color theme="1"/>
        <rFont val="宋体"/>
        <family val="3"/>
        <charset val="134"/>
      </rPr>
      <t xml:space="preserve">上周的主要执行策略：
1.用较少的预算进行预设场景的测试投放；
2.投放时间与投放媒体类别的测试和优化；
3.动态出价算法设定：
   a.不断调整媒体类别和出价得到基础数据池和基础价格范围；
   b.根据数据分析设定动态算法的各参数；
   c.执行动态出价算法；
4.反作弊算法设定，防止不良网站的作弊行为；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1.继续进行各场景的测试投放，逐步提高投放预算；
2.继续优化动态出价算法；
3.观察数据，淘汰低效果的创意；
4.总结投放数据，优化投放模型；
5.利用原先积累的用户数据开始开展retargeting投放；
6.积累本周投放数据后和GA报表进行数据比对；</t>
    </r>
    <phoneticPr fontId="25" type="noConversion"/>
  </si>
  <si>
    <r>
      <t xml:space="preserve">Lightinthebox </t>
    </r>
    <r>
      <rPr>
        <b/>
        <sz val="12"/>
        <color theme="0"/>
        <rFont val="宋体"/>
        <family val="3"/>
        <charset val="134"/>
      </rPr>
      <t>（</t>
    </r>
    <r>
      <rPr>
        <b/>
        <sz val="12"/>
        <color theme="0"/>
        <rFont val="Arial"/>
        <family val="2"/>
      </rPr>
      <t>France</t>
    </r>
    <r>
      <rPr>
        <b/>
        <sz val="12"/>
        <color theme="0"/>
        <rFont val="宋体"/>
        <family val="3"/>
        <charset val="134"/>
      </rPr>
      <t>）基于</t>
    </r>
    <r>
      <rPr>
        <b/>
        <sz val="12"/>
        <color theme="0"/>
        <rFont val="Arial"/>
        <family val="2"/>
      </rPr>
      <t>Adsvana DSP</t>
    </r>
    <r>
      <rPr>
        <b/>
        <sz val="12"/>
        <color theme="0"/>
        <rFont val="宋体"/>
        <family val="3"/>
        <charset val="134"/>
      </rPr>
      <t>的网络广告投放执行周报</t>
    </r>
    <phoneticPr fontId="31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</si>
  <si>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1.持续各场景的测试投放；
2.优化动态出价算法；
3.观察数据，淘汰低效果的创意；
4.总结投放数据，优化投放模型；
5.利用原先积累的用户数据开始开展retargeting投放；
</t>
    </r>
    <r>
      <rPr>
        <b/>
        <sz val="10"/>
        <color theme="1"/>
        <rFont val="宋体"/>
        <family val="3"/>
        <charset val="134"/>
      </rPr>
      <t xml:space="preserve">
本周策略：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5.和GA报表进行数据比对；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</si>
  <si>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1.持续投放，继续挑选白名单，提高投放预算；
2.持续优化投放模型；
3.继续优化动态出价算法；
4.retargeting投放；</t>
    </r>
    <phoneticPr fontId="25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</si>
  <si>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1.持续测试投放过程，逐步挑选白名单，提高投放预算；
2.总结投放数据，优化投放模型；
3.继续优化动态出价算法；
4.retargeting投放；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</si>
  <si>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</si>
  <si>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</si>
  <si>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</si>
  <si>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</si>
  <si>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</si>
  <si>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</si>
  <si>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</si>
  <si>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</si>
  <si>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</si>
  <si>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</si>
  <si>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3.继续优化动态出价算法；
4.retargeting投放；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</si>
  <si>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</si>
  <si>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</si>
  <si>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</si>
  <si>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</si>
  <si>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</si>
  <si>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</si>
  <si>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</si>
  <si>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</si>
  <si>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</si>
  <si>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</si>
  <si>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1.继续挑选白名单，提高投放预算；
2.扩大人群的学习范围；
3.持续优化投放模型；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3.增加新的媒体类别进行媒体学习；
3.继续优化动态出价算法；
4.retargeting投放；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</si>
  <si>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</si>
  <si>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</si>
  <si>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</si>
  <si>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</si>
  <si>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</si>
  <si>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</si>
  <si>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</si>
  <si>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</si>
  <si>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</si>
  <si>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</si>
  <si>
    <r>
      <rPr>
        <b/>
        <sz val="10"/>
        <color theme="1"/>
        <rFont val="宋体"/>
        <family val="3"/>
        <charset val="134"/>
      </rPr>
      <t>上周总结：</t>
    </r>
    <r>
      <rPr>
        <sz val="10"/>
        <color theme="1"/>
        <rFont val="宋体"/>
        <family val="3"/>
        <charset val="134"/>
      </rPr>
      <t xml:space="preserve">
1.继续挑选白名单，进行白名单投放；
2.扩大人群的学习范围，引入新的人群；
3.增加新的媒体类别进行媒体学习；
4.继续优化动态出价算法；
5.retargeting投放；
</t>
    </r>
    <r>
      <rPr>
        <b/>
        <sz val="10"/>
        <color theme="1"/>
        <rFont val="宋体"/>
        <family val="3"/>
        <charset val="134"/>
      </rPr>
      <t>本周策略：</t>
    </r>
    <r>
      <rPr>
        <sz val="10"/>
        <color theme="1"/>
        <rFont val="宋体"/>
        <family val="3"/>
        <charset val="134"/>
      </rPr>
      <t xml:space="preserve">
1.继续白名单投放；
2.retargeting投放；
3.本周此活动的投放预算将花费完毕；</t>
    </r>
    <phoneticPr fontId="25" type="noConversion"/>
  </si>
  <si>
    <r>
      <rPr>
        <b/>
        <sz val="10"/>
        <color theme="0"/>
        <rFont val="宋体"/>
        <family val="3"/>
        <charset val="134"/>
      </rPr>
      <t>日期</t>
    </r>
    <phoneticPr fontId="2" type="noConversion"/>
  </si>
  <si>
    <r>
      <rPr>
        <b/>
        <sz val="10"/>
        <color theme="0"/>
        <rFont val="宋体"/>
        <family val="3"/>
        <charset val="134"/>
      </rPr>
      <t>曝光数</t>
    </r>
    <phoneticPr fontId="2" type="noConversion"/>
  </si>
  <si>
    <t>点击数</t>
    <phoneticPr fontId="2" type="noConversion"/>
  </si>
  <si>
    <t>点击率</t>
    <phoneticPr fontId="2" type="noConversion"/>
  </si>
  <si>
    <t>转化数</t>
    <phoneticPr fontId="2" type="noConversion"/>
  </si>
  <si>
    <r>
      <rPr>
        <b/>
        <sz val="10"/>
        <color theme="0"/>
        <rFont val="宋体"/>
        <family val="3"/>
        <charset val="134"/>
      </rPr>
      <t>订单金额</t>
    </r>
    <phoneticPr fontId="2" type="noConversion"/>
  </si>
  <si>
    <r>
      <rPr>
        <b/>
        <sz val="10"/>
        <color theme="0"/>
        <rFont val="宋体"/>
        <family val="3"/>
        <charset val="134"/>
      </rPr>
      <t>投放费用</t>
    </r>
    <phoneticPr fontId="2" type="noConversion"/>
  </si>
  <si>
    <t>CPM</t>
    <phoneticPr fontId="25" type="noConversion"/>
  </si>
  <si>
    <t>CPC</t>
    <phoneticPr fontId="2" type="noConversion"/>
  </si>
  <si>
    <r>
      <rPr>
        <sz val="10"/>
        <color theme="1"/>
        <rFont val="宋体"/>
        <family val="3"/>
        <charset val="134"/>
      </rPr>
      <t>合计：</t>
    </r>
    <phoneticPr fontId="2" type="noConversion"/>
  </si>
</sst>
</file>

<file path=xl/styles.xml><?xml version="1.0" encoding="utf-8"?>
<styleSheet xmlns="http://schemas.openxmlformats.org/spreadsheetml/2006/main">
  <numFmts count="4">
    <numFmt numFmtId="26" formatCode="\$#,##0.00_);[Red]\(\$#,##0.00\)"/>
    <numFmt numFmtId="176" formatCode="_(* #,##0.00_);_(* \(#,##0.00\);_(* &quot;-&quot;??_);_(@_)"/>
    <numFmt numFmtId="177" formatCode="_(* #,##0_);_(* \(#,##0\);_(* &quot;-&quot;??_);_(@_)"/>
    <numFmt numFmtId="178" formatCode="0.000%"/>
  </numFmts>
  <fonts count="36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rgb="FF9C0006"/>
      <name val="宋体"/>
      <family val="2"/>
      <scheme val="minor"/>
    </font>
    <font>
      <b/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006100"/>
      <name val="宋体"/>
      <family val="2"/>
      <scheme val="min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3F3F76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8"/>
      <color theme="3"/>
      <name val="宋体"/>
      <family val="1"/>
      <scheme val="maj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sz val="10"/>
      <color theme="1"/>
      <name val="Arial"/>
      <family val="2"/>
    </font>
    <font>
      <b/>
      <sz val="10"/>
      <color theme="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2"/>
      <color theme="0"/>
      <name val="Arial"/>
      <family val="2"/>
    </font>
    <font>
      <b/>
      <sz val="12"/>
      <color theme="0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宋体"/>
      <family val="3"/>
      <charset val="134"/>
    </font>
    <font>
      <b/>
      <sz val="10"/>
      <color theme="0"/>
      <name val="Arial"/>
      <family val="2"/>
    </font>
    <font>
      <sz val="11"/>
      <color theme="1"/>
      <name val="宋体"/>
      <family val="3"/>
      <charset val="134"/>
    </font>
    <font>
      <sz val="9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5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7" borderId="3" applyNumberFormat="0" applyAlignment="0" applyProtection="0">
      <alignment vertical="center"/>
    </xf>
    <xf numFmtId="0" fontId="7" fillId="28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0" borderId="3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3" fillId="32" borderId="9" applyNumberFormat="0" applyFont="0" applyAlignment="0" applyProtection="0">
      <alignment vertical="center"/>
    </xf>
    <xf numFmtId="0" fontId="16" fillId="27" borderId="10" applyNumberForma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176" fontId="3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26" fontId="20" fillId="35" borderId="1" xfId="0" applyNumberFormat="1" applyFont="1" applyFill="1" applyBorder="1" applyAlignment="1"/>
    <xf numFmtId="14" fontId="20" fillId="34" borderId="1" xfId="0" applyNumberFormat="1" applyFont="1" applyFill="1" applyBorder="1">
      <alignment vertical="center"/>
    </xf>
    <xf numFmtId="14" fontId="20" fillId="0" borderId="1" xfId="0" applyNumberFormat="1" applyFont="1" applyBorder="1" applyAlignment="1">
      <alignment horizontal="left" vertical="center"/>
    </xf>
    <xf numFmtId="3" fontId="20" fillId="37" borderId="1" xfId="0" applyNumberFormat="1" applyFont="1" applyFill="1" applyBorder="1" applyAlignment="1"/>
    <xf numFmtId="26" fontId="20" fillId="37" borderId="1" xfId="0" applyNumberFormat="1" applyFont="1" applyFill="1" applyBorder="1" applyAlignment="1"/>
    <xf numFmtId="0" fontId="26" fillId="34" borderId="0" xfId="0" applyFont="1" applyFill="1">
      <alignment vertical="center"/>
    </xf>
    <xf numFmtId="0" fontId="26" fillId="34" borderId="16" xfId="0" applyFont="1" applyFill="1" applyBorder="1">
      <alignment vertical="center"/>
    </xf>
    <xf numFmtId="0" fontId="26" fillId="34" borderId="0" xfId="0" applyFont="1" applyFill="1" applyBorder="1">
      <alignment vertical="center"/>
    </xf>
    <xf numFmtId="0" fontId="26" fillId="34" borderId="17" xfId="0" applyFont="1" applyFill="1" applyBorder="1">
      <alignment vertical="center"/>
    </xf>
    <xf numFmtId="0" fontId="27" fillId="36" borderId="0" xfId="0" applyFont="1" applyFill="1" applyBorder="1" applyAlignment="1">
      <alignment horizontal="left" vertical="center"/>
    </xf>
    <xf numFmtId="0" fontId="20" fillId="37" borderId="1" xfId="0" applyFont="1" applyFill="1" applyBorder="1" applyAlignment="1">
      <alignment horizontal="right" vertical="center"/>
    </xf>
    <xf numFmtId="0" fontId="26" fillId="34" borderId="18" xfId="0" applyFont="1" applyFill="1" applyBorder="1">
      <alignment vertical="center"/>
    </xf>
    <xf numFmtId="0" fontId="26" fillId="34" borderId="12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34" borderId="0" xfId="0" applyFont="1" applyFill="1" applyAlignment="1">
      <alignment vertical="top" wrapText="1"/>
    </xf>
    <xf numFmtId="0" fontId="26" fillId="34" borderId="0" xfId="0" applyFont="1" applyFill="1" applyAlignment="1">
      <alignment vertical="center"/>
    </xf>
    <xf numFmtId="3" fontId="20" fillId="0" borderId="1" xfId="0" applyNumberFormat="1" applyFont="1" applyBorder="1" applyAlignment="1">
      <alignment horizontal="right"/>
    </xf>
    <xf numFmtId="0" fontId="21" fillId="33" borderId="1" xfId="0" applyFont="1" applyFill="1" applyBorder="1" applyAlignment="1">
      <alignment horizontal="center" vertical="center"/>
    </xf>
    <xf numFmtId="0" fontId="29" fillId="33" borderId="1" xfId="0" applyFont="1" applyFill="1" applyBorder="1" applyAlignment="1">
      <alignment horizontal="center" vertical="center"/>
    </xf>
    <xf numFmtId="177" fontId="20" fillId="34" borderId="0" xfId="43" applyNumberFormat="1" applyFont="1" applyFill="1" applyBorder="1" applyAlignment="1">
      <alignment vertical="center"/>
    </xf>
    <xf numFmtId="178" fontId="20" fillId="34" borderId="0" xfId="39" applyNumberFormat="1" applyFont="1" applyFill="1" applyBorder="1">
      <alignment vertical="center"/>
    </xf>
    <xf numFmtId="0" fontId="28" fillId="36" borderId="0" xfId="0" applyFont="1" applyFill="1" applyBorder="1">
      <alignment vertical="center"/>
    </xf>
    <xf numFmtId="0" fontId="21" fillId="33" borderId="2" xfId="0" applyFont="1" applyFill="1" applyBorder="1" applyAlignment="1">
      <alignment horizontal="center" vertical="center"/>
    </xf>
    <xf numFmtId="3" fontId="20" fillId="0" borderId="2" xfId="0" applyNumberFormat="1" applyFont="1" applyBorder="1" applyAlignment="1">
      <alignment horizontal="right"/>
    </xf>
    <xf numFmtId="178" fontId="20" fillId="34" borderId="2" xfId="39" applyNumberFormat="1" applyFont="1" applyFill="1" applyBorder="1" applyAlignment="1">
      <alignment horizontal="right"/>
    </xf>
    <xf numFmtId="3" fontId="20" fillId="37" borderId="2" xfId="0" applyNumberFormat="1" applyFont="1" applyFill="1" applyBorder="1" applyAlignment="1">
      <alignment horizontal="right"/>
    </xf>
    <xf numFmtId="178" fontId="20" fillId="37" borderId="2" xfId="39" applyNumberFormat="1" applyFont="1" applyFill="1" applyBorder="1" applyAlignment="1">
      <alignment horizontal="right"/>
    </xf>
    <xf numFmtId="26" fontId="20" fillId="34" borderId="1" xfId="0" applyNumberFormat="1" applyFont="1" applyFill="1" applyBorder="1" applyAlignment="1"/>
    <xf numFmtId="10" fontId="20" fillId="34" borderId="2" xfId="39" applyNumberFormat="1" applyFont="1" applyFill="1" applyBorder="1" applyAlignment="1">
      <alignment horizontal="right"/>
    </xf>
    <xf numFmtId="10" fontId="20" fillId="37" borderId="2" xfId="39" applyNumberFormat="1" applyFont="1" applyFill="1" applyBorder="1" applyAlignment="1">
      <alignment horizontal="right"/>
    </xf>
    <xf numFmtId="10" fontId="20" fillId="34" borderId="2" xfId="44" applyNumberFormat="1" applyFont="1" applyFill="1" applyBorder="1" applyAlignment="1">
      <alignment horizontal="right"/>
    </xf>
    <xf numFmtId="0" fontId="23" fillId="33" borderId="13" xfId="0" applyFont="1" applyFill="1" applyBorder="1" applyAlignment="1">
      <alignment horizontal="center" vertical="center"/>
    </xf>
    <xf numFmtId="0" fontId="23" fillId="33" borderId="14" xfId="0" applyFont="1" applyFill="1" applyBorder="1" applyAlignment="1">
      <alignment horizontal="center" vertical="center"/>
    </xf>
    <xf numFmtId="0" fontId="23" fillId="33" borderId="15" xfId="0" applyFont="1" applyFill="1" applyBorder="1" applyAlignment="1">
      <alignment horizontal="center" vertical="center"/>
    </xf>
    <xf numFmtId="0" fontId="22" fillId="34" borderId="1" xfId="0" applyFont="1" applyFill="1" applyBorder="1" applyAlignment="1">
      <alignment horizontal="left" vertical="center" wrapText="1"/>
    </xf>
    <xf numFmtId="0" fontId="20" fillId="34" borderId="1" xfId="0" applyFont="1" applyFill="1" applyBorder="1" applyAlignment="1">
      <alignment horizontal="left" vertical="center" wrapText="1"/>
    </xf>
    <xf numFmtId="10" fontId="20" fillId="37" borderId="2" xfId="44" applyNumberFormat="1" applyFont="1" applyFill="1" applyBorder="1" applyAlignment="1">
      <alignment horizontal="right"/>
    </xf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3" builtinId="3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Percent" xfId="39" builtinId="5"/>
    <cellStyle name="Percent 2" xfId="44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L40"/>
  <sheetViews>
    <sheetView topLeftCell="A12" workbookViewId="0">
      <selection activeCell="H5" sqref="H5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41193</v>
      </c>
      <c r="D6" s="2">
        <v>41196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17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C19" s="36"/>
      <c r="D19" s="36"/>
      <c r="E19" s="36"/>
      <c r="F19" s="36"/>
      <c r="G19" s="36"/>
      <c r="H19" s="36"/>
      <c r="I19" s="36"/>
      <c r="J19" s="36"/>
      <c r="K19" s="36"/>
      <c r="L19" s="9"/>
    </row>
    <row r="20" spans="2:12">
      <c r="B20" s="7"/>
      <c r="C20" s="36"/>
      <c r="D20" s="36"/>
      <c r="E20" s="36"/>
      <c r="F20" s="36"/>
      <c r="G20" s="36"/>
      <c r="H20" s="36"/>
      <c r="I20" s="36"/>
      <c r="J20" s="36"/>
      <c r="K20" s="36"/>
      <c r="L20" s="9"/>
    </row>
    <row r="21" spans="2:12">
      <c r="B21" s="7"/>
      <c r="C21" s="36"/>
      <c r="D21" s="36"/>
      <c r="E21" s="36"/>
      <c r="F21" s="36"/>
      <c r="G21" s="36"/>
      <c r="H21" s="36"/>
      <c r="I21" s="36"/>
      <c r="J21" s="36"/>
      <c r="K21" s="36"/>
      <c r="L21" s="9"/>
    </row>
    <row r="22" spans="2:12">
      <c r="B22" s="7"/>
      <c r="C22" s="36"/>
      <c r="D22" s="36"/>
      <c r="E22" s="36"/>
      <c r="F22" s="36"/>
      <c r="G22" s="36"/>
      <c r="H22" s="36"/>
      <c r="I22" s="36"/>
      <c r="J22" s="36"/>
      <c r="K22" s="36"/>
      <c r="L22" s="9"/>
    </row>
    <row r="23" spans="2:12">
      <c r="B23" s="7"/>
      <c r="C23" s="36"/>
      <c r="D23" s="36"/>
      <c r="E23" s="36"/>
      <c r="F23" s="36"/>
      <c r="G23" s="36"/>
      <c r="H23" s="36"/>
      <c r="I23" s="36"/>
      <c r="J23" s="36"/>
      <c r="K23" s="36"/>
      <c r="L23" s="9"/>
    </row>
    <row r="24" spans="2:12">
      <c r="B24" s="7"/>
      <c r="C24" s="36"/>
      <c r="D24" s="36"/>
      <c r="E24" s="36"/>
      <c r="F24" s="36"/>
      <c r="G24" s="36"/>
      <c r="H24" s="36"/>
      <c r="I24" s="36"/>
      <c r="J24" s="36"/>
      <c r="K24" s="36"/>
      <c r="L24" s="9"/>
    </row>
    <row r="25" spans="2:12">
      <c r="B25" s="7"/>
      <c r="L25" s="9"/>
    </row>
    <row r="26" spans="2:12">
      <c r="B26" s="7"/>
      <c r="C26" s="22" t="s">
        <v>14</v>
      </c>
      <c r="D26" s="8"/>
      <c r="E26" s="8"/>
      <c r="F26" s="8"/>
      <c r="L26" s="9"/>
    </row>
    <row r="27" spans="2:12">
      <c r="B27" s="7"/>
      <c r="C27" s="19" t="s">
        <v>3</v>
      </c>
      <c r="D27" s="19" t="s">
        <v>4</v>
      </c>
      <c r="E27" s="23" t="s">
        <v>12</v>
      </c>
      <c r="F27" s="23" t="s">
        <v>5</v>
      </c>
      <c r="G27" s="18" t="s">
        <v>6</v>
      </c>
      <c r="H27" s="19" t="s">
        <v>7</v>
      </c>
      <c r="I27" s="19" t="s">
        <v>8</v>
      </c>
      <c r="J27" s="19" t="s">
        <v>9</v>
      </c>
      <c r="K27" s="19" t="s">
        <v>10</v>
      </c>
      <c r="L27" s="9"/>
    </row>
    <row r="28" spans="2:12">
      <c r="B28" s="7"/>
      <c r="C28" s="3">
        <v>41193</v>
      </c>
      <c r="D28" s="17">
        <v>124405</v>
      </c>
      <c r="E28" s="24">
        <v>53</v>
      </c>
      <c r="F28" s="25">
        <f t="shared" ref="F28:F31" si="0">E28/D28</f>
        <v>4.2602789276958324E-4</v>
      </c>
      <c r="G28" s="17">
        <v>2</v>
      </c>
      <c r="H28" s="28">
        <v>64.459999999999994</v>
      </c>
      <c r="I28" s="1">
        <v>30.6</v>
      </c>
      <c r="J28" s="1">
        <f t="shared" ref="J28:J31" si="1">I28/D28*1000</f>
        <v>0.24597082110847637</v>
      </c>
      <c r="K28" s="1">
        <f t="shared" ref="K28:K31" si="2">I28/E28</f>
        <v>0.57735849056603772</v>
      </c>
      <c r="L28" s="9"/>
    </row>
    <row r="29" spans="2:12">
      <c r="B29" s="7"/>
      <c r="C29" s="3">
        <v>41194</v>
      </c>
      <c r="D29" s="17">
        <v>0</v>
      </c>
      <c r="E29" s="24">
        <v>0</v>
      </c>
      <c r="F29" s="25" t="s">
        <v>16</v>
      </c>
      <c r="G29" s="17">
        <v>0</v>
      </c>
      <c r="H29" s="28">
        <v>0</v>
      </c>
      <c r="I29" s="1">
        <v>0</v>
      </c>
      <c r="J29" s="1" t="s">
        <v>16</v>
      </c>
      <c r="K29" s="1" t="s">
        <v>16</v>
      </c>
      <c r="L29" s="9"/>
    </row>
    <row r="30" spans="2:12">
      <c r="B30" s="7"/>
      <c r="C30" s="3">
        <v>41195</v>
      </c>
      <c r="D30" s="17">
        <f>87135+6833</f>
        <v>93968</v>
      </c>
      <c r="E30" s="24">
        <v>54</v>
      </c>
      <c r="F30" s="25">
        <f t="shared" si="0"/>
        <v>5.7466371530733864E-4</v>
      </c>
      <c r="G30" s="17">
        <v>0</v>
      </c>
      <c r="H30" s="28">
        <v>0</v>
      </c>
      <c r="I30" s="1">
        <v>37.770000000000003</v>
      </c>
      <c r="J30" s="1">
        <f t="shared" si="1"/>
        <v>0.40194534309552188</v>
      </c>
      <c r="K30" s="1">
        <f t="shared" si="2"/>
        <v>0.69944444444444454</v>
      </c>
      <c r="L30" s="9"/>
    </row>
    <row r="31" spans="2:12">
      <c r="B31" s="7"/>
      <c r="C31" s="3">
        <v>41196</v>
      </c>
      <c r="D31" s="17">
        <f>63958+36066</f>
        <v>100024</v>
      </c>
      <c r="E31" s="24">
        <v>81</v>
      </c>
      <c r="F31" s="25">
        <f t="shared" si="0"/>
        <v>8.0980564664480522E-4</v>
      </c>
      <c r="G31" s="17">
        <v>4</v>
      </c>
      <c r="H31" s="28">
        <v>833.85</v>
      </c>
      <c r="I31" s="1">
        <v>54.01</v>
      </c>
      <c r="J31" s="1">
        <f t="shared" si="1"/>
        <v>0.53997040710229538</v>
      </c>
      <c r="K31" s="1">
        <f t="shared" si="2"/>
        <v>0.66679012345679012</v>
      </c>
      <c r="L31" s="9"/>
    </row>
    <row r="32" spans="2:12">
      <c r="B32" s="7"/>
      <c r="C32" s="11" t="s">
        <v>11</v>
      </c>
      <c r="D32" s="4">
        <f>SUM(D28:D31)</f>
        <v>318397</v>
      </c>
      <c r="E32" s="26">
        <f>SUM(E28:E31)</f>
        <v>188</v>
      </c>
      <c r="F32" s="27">
        <f>E32/D32</f>
        <v>5.9045782466543345E-4</v>
      </c>
      <c r="G32" s="4">
        <f>SUM(G28:G31)</f>
        <v>6</v>
      </c>
      <c r="H32" s="5">
        <f>SUM(H28:H31)</f>
        <v>898.31000000000006</v>
      </c>
      <c r="I32" s="5">
        <f>SUM(I28:I31)</f>
        <v>122.38</v>
      </c>
      <c r="J32" s="5">
        <f>I32/D32*1000</f>
        <v>0.38436291799231775</v>
      </c>
      <c r="K32" s="5">
        <f>I32/E32</f>
        <v>0.65095744680851064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4"/>
  </mergeCells>
  <phoneticPr fontId="3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L40"/>
  <sheetViews>
    <sheetView topLeftCell="A13" workbookViewId="0">
      <selection activeCell="M14" sqref="M14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41197</v>
      </c>
      <c r="D6" s="2">
        <v>41203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19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C19" s="36"/>
      <c r="D19" s="36"/>
      <c r="E19" s="36"/>
      <c r="F19" s="36"/>
      <c r="G19" s="36"/>
      <c r="H19" s="36"/>
      <c r="I19" s="36"/>
      <c r="J19" s="36"/>
      <c r="K19" s="36"/>
      <c r="L19" s="9"/>
    </row>
    <row r="20" spans="2:12">
      <c r="B20" s="7"/>
      <c r="C20" s="36"/>
      <c r="D20" s="36"/>
      <c r="E20" s="36"/>
      <c r="F20" s="36"/>
      <c r="G20" s="36"/>
      <c r="H20" s="36"/>
      <c r="I20" s="36"/>
      <c r="J20" s="36"/>
      <c r="K20" s="36"/>
      <c r="L20" s="9"/>
    </row>
    <row r="21" spans="2:12">
      <c r="B21" s="7"/>
      <c r="C21" s="36"/>
      <c r="D21" s="36"/>
      <c r="E21" s="36"/>
      <c r="F21" s="36"/>
      <c r="G21" s="36"/>
      <c r="H21" s="36"/>
      <c r="I21" s="36"/>
      <c r="J21" s="36"/>
      <c r="K21" s="36"/>
      <c r="L21" s="9"/>
    </row>
    <row r="22" spans="2:12">
      <c r="B22" s="7"/>
      <c r="L22" s="9"/>
    </row>
    <row r="23" spans="2:12">
      <c r="B23" s="7"/>
      <c r="C23" s="22" t="s">
        <v>14</v>
      </c>
      <c r="D23" s="8"/>
      <c r="E23" s="8"/>
      <c r="F23" s="8"/>
      <c r="L23" s="9"/>
    </row>
    <row r="24" spans="2:12">
      <c r="B24" s="7"/>
      <c r="C24" s="19" t="s">
        <v>3</v>
      </c>
      <c r="D24" s="19" t="s">
        <v>4</v>
      </c>
      <c r="E24" s="23" t="s">
        <v>12</v>
      </c>
      <c r="F24" s="23" t="s">
        <v>5</v>
      </c>
      <c r="G24" s="18" t="s">
        <v>6</v>
      </c>
      <c r="H24" s="19" t="s">
        <v>7</v>
      </c>
      <c r="I24" s="19" t="s">
        <v>8</v>
      </c>
      <c r="J24" s="19" t="s">
        <v>9</v>
      </c>
      <c r="K24" s="19" t="s">
        <v>10</v>
      </c>
      <c r="L24" s="9"/>
    </row>
    <row r="25" spans="2:12">
      <c r="B25" s="7"/>
      <c r="C25" s="3">
        <v>41197</v>
      </c>
      <c r="D25" s="17">
        <v>58892</v>
      </c>
      <c r="E25" s="24">
        <v>24</v>
      </c>
      <c r="F25" s="25">
        <f t="shared" ref="F25:F31" si="0">E25/D25</f>
        <v>4.0752564015485973E-4</v>
      </c>
      <c r="G25" s="17">
        <v>0</v>
      </c>
      <c r="H25" s="28">
        <v>0</v>
      </c>
      <c r="I25" s="1">
        <v>51.38</v>
      </c>
      <c r="J25" s="1">
        <f t="shared" ref="J25:J31" si="1">I25/D25*1000</f>
        <v>0.87244447463152897</v>
      </c>
      <c r="K25" s="1">
        <f t="shared" ref="K25:K31" si="2">I25/E25</f>
        <v>2.1408333333333336</v>
      </c>
      <c r="L25" s="9"/>
    </row>
    <row r="26" spans="2:12">
      <c r="B26" s="7"/>
      <c r="C26" s="3">
        <v>41198</v>
      </c>
      <c r="D26" s="17">
        <v>193879</v>
      </c>
      <c r="E26" s="24">
        <v>63</v>
      </c>
      <c r="F26" s="25">
        <f t="shared" si="0"/>
        <v>3.2494493988518614E-4</v>
      </c>
      <c r="G26" s="17">
        <v>1</v>
      </c>
      <c r="H26" s="28">
        <v>129.99</v>
      </c>
      <c r="I26" s="1">
        <v>85.07</v>
      </c>
      <c r="J26" s="1">
        <f t="shared" si="1"/>
        <v>0.43877882596877432</v>
      </c>
      <c r="K26" s="1">
        <f t="shared" si="2"/>
        <v>1.3503174603174601</v>
      </c>
      <c r="L26" s="9"/>
    </row>
    <row r="27" spans="2:12">
      <c r="B27" s="7"/>
      <c r="C27" s="3">
        <v>41199</v>
      </c>
      <c r="D27" s="17">
        <f>63381+54787</f>
        <v>118168</v>
      </c>
      <c r="E27" s="24">
        <v>54</v>
      </c>
      <c r="F27" s="25">
        <f t="shared" si="0"/>
        <v>4.5697650802247646E-4</v>
      </c>
      <c r="G27" s="17">
        <v>1</v>
      </c>
      <c r="H27" s="28">
        <v>169.97</v>
      </c>
      <c r="I27" s="1">
        <v>66.62</v>
      </c>
      <c r="J27" s="1">
        <f t="shared" si="1"/>
        <v>0.56377361045291452</v>
      </c>
      <c r="K27" s="1">
        <f t="shared" si="2"/>
        <v>1.2337037037037037</v>
      </c>
      <c r="L27" s="9"/>
    </row>
    <row r="28" spans="2:12">
      <c r="B28" s="7"/>
      <c r="C28" s="3">
        <v>41200</v>
      </c>
      <c r="D28" s="17">
        <f>56708+78394</f>
        <v>135102</v>
      </c>
      <c r="E28" s="24">
        <v>60</v>
      </c>
      <c r="F28" s="25">
        <f t="shared" si="0"/>
        <v>4.4410889550117687E-4</v>
      </c>
      <c r="G28" s="17">
        <v>0</v>
      </c>
      <c r="H28" s="28">
        <v>0</v>
      </c>
      <c r="I28" s="1">
        <v>68.739999999999995</v>
      </c>
      <c r="J28" s="1">
        <f t="shared" si="1"/>
        <v>0.50880075794584823</v>
      </c>
      <c r="K28" s="1">
        <f t="shared" si="2"/>
        <v>1.1456666666666666</v>
      </c>
      <c r="L28" s="9"/>
    </row>
    <row r="29" spans="2:12">
      <c r="B29" s="7"/>
      <c r="C29" s="3">
        <v>41201</v>
      </c>
      <c r="D29" s="17">
        <f>57539+79171</f>
        <v>136710</v>
      </c>
      <c r="E29" s="24">
        <v>71</v>
      </c>
      <c r="F29" s="25">
        <f t="shared" si="0"/>
        <v>5.1934752395581892E-4</v>
      </c>
      <c r="G29" s="17">
        <v>1</v>
      </c>
      <c r="H29" s="28">
        <v>97.99</v>
      </c>
      <c r="I29" s="1">
        <v>68.39</v>
      </c>
      <c r="J29" s="1">
        <f t="shared" si="1"/>
        <v>0.50025601638504857</v>
      </c>
      <c r="K29" s="1">
        <f t="shared" si="2"/>
        <v>0.96323943661971834</v>
      </c>
      <c r="L29" s="9"/>
    </row>
    <row r="30" spans="2:12">
      <c r="B30" s="7"/>
      <c r="C30" s="3">
        <v>41202</v>
      </c>
      <c r="D30" s="17">
        <f>58203+148422</f>
        <v>206625</v>
      </c>
      <c r="E30" s="24">
        <v>106</v>
      </c>
      <c r="F30" s="25">
        <f t="shared" si="0"/>
        <v>5.1300665456745307E-4</v>
      </c>
      <c r="G30" s="17">
        <v>6</v>
      </c>
      <c r="H30" s="28">
        <v>367.61</v>
      </c>
      <c r="I30" s="1">
        <v>85.04</v>
      </c>
      <c r="J30" s="1">
        <f t="shared" si="1"/>
        <v>0.41156684815486994</v>
      </c>
      <c r="K30" s="1">
        <f t="shared" si="2"/>
        <v>0.80226415094339631</v>
      </c>
      <c r="L30" s="9"/>
    </row>
    <row r="31" spans="2:12">
      <c r="B31" s="7"/>
      <c r="C31" s="3">
        <v>41203</v>
      </c>
      <c r="D31" s="17">
        <f>62086+94979</f>
        <v>157065</v>
      </c>
      <c r="E31" s="24">
        <v>97</v>
      </c>
      <c r="F31" s="25">
        <f t="shared" si="0"/>
        <v>6.1757870945150094E-4</v>
      </c>
      <c r="G31" s="17">
        <v>5</v>
      </c>
      <c r="H31" s="28">
        <v>185.38</v>
      </c>
      <c r="I31" s="1">
        <v>72.790000000000006</v>
      </c>
      <c r="J31" s="1">
        <f t="shared" si="1"/>
        <v>0.46343870372138923</v>
      </c>
      <c r="K31" s="1">
        <f t="shared" si="2"/>
        <v>0.75041237113402071</v>
      </c>
      <c r="L31" s="9"/>
    </row>
    <row r="32" spans="2:12">
      <c r="B32" s="7"/>
      <c r="C32" s="11" t="s">
        <v>11</v>
      </c>
      <c r="D32" s="4">
        <f>SUM(D25:D31)</f>
        <v>1006441</v>
      </c>
      <c r="E32" s="26">
        <f>SUM(E25:E31)</f>
        <v>475</v>
      </c>
      <c r="F32" s="27">
        <f>E32/D32</f>
        <v>4.7196010496392736E-4</v>
      </c>
      <c r="G32" s="4">
        <f>SUM(G25:G31)</f>
        <v>14</v>
      </c>
      <c r="H32" s="5">
        <f>SUM(H25:H31)</f>
        <v>950.94</v>
      </c>
      <c r="I32" s="5">
        <f>SUM(I25:I31)</f>
        <v>498.03000000000003</v>
      </c>
      <c r="J32" s="5">
        <f>I32/D32*1000</f>
        <v>0.49484271805302049</v>
      </c>
      <c r="K32" s="5">
        <f>I32/E32</f>
        <v>1.0484842105263159</v>
      </c>
      <c r="L32" s="9"/>
    </row>
    <row r="33" spans="2:12">
      <c r="B33" s="7"/>
      <c r="C33" s="8"/>
      <c r="D33" s="8"/>
      <c r="E33" s="8"/>
      <c r="F33" s="8"/>
      <c r="L33" s="9"/>
    </row>
    <row r="34" spans="2:12">
      <c r="B34" s="7"/>
      <c r="C34" s="16" t="s">
        <v>15</v>
      </c>
      <c r="D34" s="20"/>
      <c r="E34" s="20"/>
      <c r="F34" s="21"/>
      <c r="G34" s="8"/>
      <c r="H34" s="8"/>
      <c r="I34" s="8"/>
      <c r="J34" s="8"/>
      <c r="K34" s="8"/>
      <c r="L34" s="9"/>
    </row>
    <row r="35" spans="2:12"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4"/>
    </row>
    <row r="37" spans="2:12">
      <c r="B37" s="15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  <row r="40" spans="2:12">
      <c r="B40" s="16"/>
      <c r="C40" s="16"/>
      <c r="D40" s="16"/>
      <c r="E40" s="16"/>
      <c r="F40" s="16"/>
    </row>
  </sheetData>
  <mergeCells count="2">
    <mergeCell ref="B2:L2"/>
    <mergeCell ref="C9:K21"/>
  </mergeCells>
  <phoneticPr fontId="3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2:L37"/>
  <sheetViews>
    <sheetView topLeftCell="A6"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41204</v>
      </c>
      <c r="D6" s="2">
        <v>41210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20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3</v>
      </c>
      <c r="D21" s="19" t="s">
        <v>4</v>
      </c>
      <c r="E21" s="23" t="s">
        <v>12</v>
      </c>
      <c r="F21" s="23" t="s">
        <v>5</v>
      </c>
      <c r="G21" s="18" t="s">
        <v>6</v>
      </c>
      <c r="H21" s="19" t="s">
        <v>7</v>
      </c>
      <c r="I21" s="19" t="s">
        <v>8</v>
      </c>
      <c r="J21" s="19" t="s">
        <v>9</v>
      </c>
      <c r="K21" s="19" t="s">
        <v>10</v>
      </c>
      <c r="L21" s="9"/>
    </row>
    <row r="22" spans="2:12">
      <c r="B22" s="7"/>
      <c r="C22" s="3">
        <v>41204</v>
      </c>
      <c r="D22" s="17">
        <v>92212</v>
      </c>
      <c r="E22" s="24">
        <v>44</v>
      </c>
      <c r="F22" s="25">
        <f t="shared" ref="F22:F28" si="0">E22/D22</f>
        <v>4.7716132390578233E-4</v>
      </c>
      <c r="G22" s="17">
        <v>3</v>
      </c>
      <c r="H22" s="28">
        <v>169.28</v>
      </c>
      <c r="I22" s="1">
        <v>23.56392</v>
      </c>
      <c r="J22" s="1">
        <f t="shared" ref="J22:J28" si="1">I22/D22*1000</f>
        <v>0.25554071053658961</v>
      </c>
      <c r="K22" s="1">
        <f t="shared" ref="K22:K28" si="2">I22/E22</f>
        <v>0.53554363636363633</v>
      </c>
      <c r="L22" s="9"/>
    </row>
    <row r="23" spans="2:12">
      <c r="B23" s="7"/>
      <c r="C23" s="3">
        <v>41205</v>
      </c>
      <c r="D23" s="17">
        <v>224536</v>
      </c>
      <c r="E23" s="24">
        <v>142</v>
      </c>
      <c r="F23" s="25">
        <f t="shared" si="0"/>
        <v>6.324152919799052E-4</v>
      </c>
      <c r="G23" s="17">
        <v>5</v>
      </c>
      <c r="H23" s="28">
        <v>440.78</v>
      </c>
      <c r="I23" s="1">
        <v>109.78637000000001</v>
      </c>
      <c r="J23" s="1">
        <f t="shared" si="1"/>
        <v>0.48894774111946421</v>
      </c>
      <c r="K23" s="1">
        <f t="shared" si="2"/>
        <v>0.77314345070422541</v>
      </c>
      <c r="L23" s="9"/>
    </row>
    <row r="24" spans="2:12">
      <c r="B24" s="7"/>
      <c r="C24" s="3">
        <v>41206</v>
      </c>
      <c r="D24" s="17">
        <v>207589</v>
      </c>
      <c r="E24" s="24">
        <v>91</v>
      </c>
      <c r="F24" s="25">
        <f t="shared" si="0"/>
        <v>4.3836619474056909E-4</v>
      </c>
      <c r="G24" s="17">
        <v>6</v>
      </c>
      <c r="H24" s="28">
        <v>232.61</v>
      </c>
      <c r="I24" s="1">
        <v>90.842399999999998</v>
      </c>
      <c r="J24" s="1">
        <f t="shared" si="1"/>
        <v>0.43760700229780958</v>
      </c>
      <c r="K24" s="1">
        <f t="shared" si="2"/>
        <v>0.99826813186813179</v>
      </c>
      <c r="L24" s="9"/>
    </row>
    <row r="25" spans="2:12">
      <c r="B25" s="7"/>
      <c r="C25" s="3">
        <v>41207</v>
      </c>
      <c r="D25" s="17">
        <v>207334</v>
      </c>
      <c r="E25" s="24">
        <v>109</v>
      </c>
      <c r="F25" s="25">
        <f t="shared" si="0"/>
        <v>5.2572178224507312E-4</v>
      </c>
      <c r="G25" s="17">
        <v>2</v>
      </c>
      <c r="H25" s="28">
        <v>124.98</v>
      </c>
      <c r="I25" s="1">
        <v>110.83947000000001</v>
      </c>
      <c r="J25" s="1">
        <f t="shared" si="1"/>
        <v>0.53459379551834241</v>
      </c>
      <c r="K25" s="1">
        <f t="shared" si="2"/>
        <v>1.0168758715596331</v>
      </c>
      <c r="L25" s="9"/>
    </row>
    <row r="26" spans="2:12">
      <c r="B26" s="7"/>
      <c r="C26" s="3">
        <v>41208</v>
      </c>
      <c r="D26" s="17">
        <v>205760</v>
      </c>
      <c r="E26" s="24">
        <v>152</v>
      </c>
      <c r="F26" s="25">
        <f t="shared" si="0"/>
        <v>7.3872472783825815E-4</v>
      </c>
      <c r="G26" s="17">
        <v>4</v>
      </c>
      <c r="H26" s="28">
        <v>81.540000000000006</v>
      </c>
      <c r="I26" s="1">
        <v>106.90047</v>
      </c>
      <c r="J26" s="1">
        <f t="shared" si="1"/>
        <v>0.51953960925349918</v>
      </c>
      <c r="K26" s="1">
        <f t="shared" si="2"/>
        <v>0.70329256578947363</v>
      </c>
      <c r="L26" s="9"/>
    </row>
    <row r="27" spans="2:12">
      <c r="B27" s="7"/>
      <c r="C27" s="3">
        <v>41209</v>
      </c>
      <c r="D27" s="17">
        <v>200627</v>
      </c>
      <c r="E27" s="24">
        <v>146</v>
      </c>
      <c r="F27" s="25">
        <f t="shared" si="0"/>
        <v>7.2771860218215898E-4</v>
      </c>
      <c r="G27" s="17">
        <v>3</v>
      </c>
      <c r="H27" s="28">
        <v>20.97</v>
      </c>
      <c r="I27" s="1">
        <v>104.83596</v>
      </c>
      <c r="J27" s="1">
        <f t="shared" si="1"/>
        <v>0.52254163198373105</v>
      </c>
      <c r="K27" s="1">
        <f t="shared" si="2"/>
        <v>0.71805452054794516</v>
      </c>
      <c r="L27" s="9"/>
    </row>
    <row r="28" spans="2:12">
      <c r="B28" s="7"/>
      <c r="C28" s="3">
        <v>41210</v>
      </c>
      <c r="D28" s="17">
        <v>208461</v>
      </c>
      <c r="E28" s="24">
        <v>165</v>
      </c>
      <c r="F28" s="25">
        <f t="shared" si="0"/>
        <v>7.915149596327371E-4</v>
      </c>
      <c r="G28" s="17">
        <v>7</v>
      </c>
      <c r="H28" s="28">
        <v>451.71</v>
      </c>
      <c r="I28" s="1">
        <v>101.38584</v>
      </c>
      <c r="J28" s="1">
        <f t="shared" si="1"/>
        <v>0.48635399427230996</v>
      </c>
      <c r="K28" s="1">
        <f t="shared" si="2"/>
        <v>0.61445963636363632</v>
      </c>
      <c r="L28" s="9"/>
    </row>
    <row r="29" spans="2:12">
      <c r="B29" s="7"/>
      <c r="C29" s="11" t="s">
        <v>11</v>
      </c>
      <c r="D29" s="4">
        <f>SUM(D22:D28)</f>
        <v>1346519</v>
      </c>
      <c r="E29" s="26">
        <f>SUM(E22:E28)</f>
        <v>849</v>
      </c>
      <c r="F29" s="27">
        <f>E29/D29</f>
        <v>6.3051468267436256E-4</v>
      </c>
      <c r="G29" s="4">
        <f>SUM(G22:G28)</f>
        <v>30</v>
      </c>
      <c r="H29" s="5">
        <f>SUM(H22:H28)</f>
        <v>1521.8700000000001</v>
      </c>
      <c r="I29" s="5">
        <f>SUM(I22:I28)</f>
        <v>648.15442999999993</v>
      </c>
      <c r="J29" s="5">
        <f>I29/D29*1000</f>
        <v>0.48135557686152214</v>
      </c>
      <c r="K29" s="5">
        <f>I29/E29</f>
        <v>0.76343277974087154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L38"/>
  <sheetViews>
    <sheetView topLeftCell="A4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41211</v>
      </c>
      <c r="D6" s="2">
        <v>41217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21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C19" s="36"/>
      <c r="D19" s="36"/>
      <c r="E19" s="36"/>
      <c r="F19" s="36"/>
      <c r="G19" s="36"/>
      <c r="H19" s="36"/>
      <c r="I19" s="36"/>
      <c r="J19" s="36"/>
      <c r="K19" s="36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3</v>
      </c>
      <c r="D22" s="19" t="s">
        <v>4</v>
      </c>
      <c r="E22" s="23" t="s">
        <v>12</v>
      </c>
      <c r="F22" s="23" t="s">
        <v>5</v>
      </c>
      <c r="G22" s="18" t="s">
        <v>6</v>
      </c>
      <c r="H22" s="19" t="s">
        <v>7</v>
      </c>
      <c r="I22" s="19" t="s">
        <v>8</v>
      </c>
      <c r="J22" s="19" t="s">
        <v>9</v>
      </c>
      <c r="K22" s="19" t="s">
        <v>10</v>
      </c>
      <c r="L22" s="9"/>
    </row>
    <row r="23" spans="2:12">
      <c r="B23" s="7"/>
      <c r="C23" s="3">
        <v>41211</v>
      </c>
      <c r="D23" s="17">
        <v>228234</v>
      </c>
      <c r="E23" s="24">
        <v>158</v>
      </c>
      <c r="F23" s="29">
        <f t="shared" ref="F23:F29" si="0">E23/D23</f>
        <v>6.9227196649053165E-4</v>
      </c>
      <c r="G23" s="17">
        <v>3</v>
      </c>
      <c r="H23" s="28">
        <v>135.93</v>
      </c>
      <c r="I23" s="1">
        <v>111.96973</v>
      </c>
      <c r="J23" s="1">
        <f t="shared" ref="J23:J29" si="1">I23/D23*1000</f>
        <v>0.49059180490198651</v>
      </c>
      <c r="K23" s="1">
        <f t="shared" ref="K23:K29" si="2">I23/E23</f>
        <v>0.70866917721518985</v>
      </c>
      <c r="L23" s="9"/>
    </row>
    <row r="24" spans="2:12">
      <c r="B24" s="7"/>
      <c r="C24" s="3">
        <v>41212</v>
      </c>
      <c r="D24" s="17">
        <v>203738</v>
      </c>
      <c r="E24" s="24">
        <v>145</v>
      </c>
      <c r="F24" s="29">
        <f t="shared" si="0"/>
        <v>7.1169835769468635E-4</v>
      </c>
      <c r="G24" s="17">
        <v>6</v>
      </c>
      <c r="H24" s="28">
        <v>342.32</v>
      </c>
      <c r="I24" s="1">
        <v>105.05936</v>
      </c>
      <c r="J24" s="1">
        <f t="shared" si="1"/>
        <v>0.51565913084451598</v>
      </c>
      <c r="K24" s="1">
        <f t="shared" si="2"/>
        <v>0.72454731034482756</v>
      </c>
      <c r="L24" s="9"/>
    </row>
    <row r="25" spans="2:12">
      <c r="B25" s="7"/>
      <c r="C25" s="3">
        <v>41213</v>
      </c>
      <c r="D25" s="17">
        <v>256774</v>
      </c>
      <c r="E25" s="24">
        <v>182</v>
      </c>
      <c r="F25" s="29">
        <f t="shared" si="0"/>
        <v>7.0879450411646039E-4</v>
      </c>
      <c r="G25" s="17">
        <v>9</v>
      </c>
      <c r="H25" s="28">
        <v>418.04</v>
      </c>
      <c r="I25" s="1">
        <v>149.85900000000001</v>
      </c>
      <c r="J25" s="1">
        <f t="shared" si="1"/>
        <v>0.58362217358455304</v>
      </c>
      <c r="K25" s="1">
        <f t="shared" si="2"/>
        <v>0.82340109890109892</v>
      </c>
      <c r="L25" s="9"/>
    </row>
    <row r="26" spans="2:12">
      <c r="B26" s="7"/>
      <c r="C26" s="3">
        <v>41214</v>
      </c>
      <c r="D26" s="17">
        <v>262319</v>
      </c>
      <c r="E26" s="24">
        <v>178</v>
      </c>
      <c r="F26" s="29">
        <f t="shared" si="0"/>
        <v>6.7856312352517357E-4</v>
      </c>
      <c r="G26" s="17">
        <v>11</v>
      </c>
      <c r="H26" s="28">
        <v>855.84</v>
      </c>
      <c r="I26" s="1">
        <v>151.22900999999999</v>
      </c>
      <c r="J26" s="1">
        <f t="shared" si="1"/>
        <v>0.57650803029898701</v>
      </c>
      <c r="K26" s="1">
        <f t="shared" si="2"/>
        <v>0.84960117977528082</v>
      </c>
      <c r="L26" s="9"/>
    </row>
    <row r="27" spans="2:12">
      <c r="B27" s="7"/>
      <c r="C27" s="3">
        <v>41215</v>
      </c>
      <c r="D27" s="17">
        <v>136196</v>
      </c>
      <c r="E27" s="24">
        <v>101</v>
      </c>
      <c r="F27" s="29">
        <f t="shared" si="0"/>
        <v>7.4157831360686065E-4</v>
      </c>
      <c r="G27" s="17">
        <v>7</v>
      </c>
      <c r="H27" s="28">
        <v>205.95</v>
      </c>
      <c r="I27" s="1">
        <v>66.671559999999999</v>
      </c>
      <c r="J27" s="1">
        <f t="shared" si="1"/>
        <v>0.48952656465681815</v>
      </c>
      <c r="K27" s="1">
        <f t="shared" si="2"/>
        <v>0.66011445544554459</v>
      </c>
      <c r="L27" s="9"/>
    </row>
    <row r="28" spans="2:12">
      <c r="B28" s="7"/>
      <c r="C28" s="3">
        <v>41216</v>
      </c>
      <c r="D28" s="17">
        <v>254622</v>
      </c>
      <c r="E28" s="24">
        <v>194</v>
      </c>
      <c r="F28" s="29">
        <f t="shared" si="0"/>
        <v>7.6191373879711888E-4</v>
      </c>
      <c r="G28" s="17">
        <v>9</v>
      </c>
      <c r="H28" s="28">
        <v>401.39</v>
      </c>
      <c r="I28" s="1">
        <v>149.62236999999999</v>
      </c>
      <c r="J28" s="1">
        <f t="shared" si="1"/>
        <v>0.58762546048652509</v>
      </c>
      <c r="K28" s="1">
        <f t="shared" si="2"/>
        <v>0.7712493298969072</v>
      </c>
      <c r="L28" s="9"/>
    </row>
    <row r="29" spans="2:12">
      <c r="B29" s="7"/>
      <c r="C29" s="3">
        <v>41217</v>
      </c>
      <c r="D29" s="17">
        <v>259902</v>
      </c>
      <c r="E29" s="24">
        <v>202</v>
      </c>
      <c r="F29" s="29">
        <f t="shared" si="0"/>
        <v>7.7721602757962614E-4</v>
      </c>
      <c r="G29" s="17">
        <v>15</v>
      </c>
      <c r="H29" s="28">
        <v>1100.52</v>
      </c>
      <c r="I29" s="1">
        <v>148.53523999999999</v>
      </c>
      <c r="J29" s="1">
        <f t="shared" si="1"/>
        <v>0.5715047979623088</v>
      </c>
      <c r="K29" s="1">
        <f t="shared" si="2"/>
        <v>0.73532297029702964</v>
      </c>
      <c r="L29" s="9"/>
    </row>
    <row r="30" spans="2:12">
      <c r="B30" s="7"/>
      <c r="C30" s="11" t="s">
        <v>11</v>
      </c>
      <c r="D30" s="4">
        <f>SUM(D23:D29)</f>
        <v>1601785</v>
      </c>
      <c r="E30" s="26">
        <f>SUM(E23:E29)</f>
        <v>1160</v>
      </c>
      <c r="F30" s="30">
        <f>E30/D30</f>
        <v>7.2419207321831576E-4</v>
      </c>
      <c r="G30" s="4">
        <f>SUM(G23:G29)</f>
        <v>60</v>
      </c>
      <c r="H30" s="5">
        <f>SUM(H23:H29)</f>
        <v>3459.9900000000002</v>
      </c>
      <c r="I30" s="5">
        <f>SUM(I23:I29)</f>
        <v>882.94626999999991</v>
      </c>
      <c r="J30" s="5">
        <f>I30/D30*1000</f>
        <v>0.55122645673420578</v>
      </c>
      <c r="K30" s="5">
        <f>I30/E30</f>
        <v>0.76116057758620681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2:L38"/>
  <sheetViews>
    <sheetView topLeftCell="A7" workbookViewId="0">
      <selection activeCell="C9" sqref="C9:K19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41218</v>
      </c>
      <c r="D6" s="2">
        <v>41224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32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C19" s="36"/>
      <c r="D19" s="36"/>
      <c r="E19" s="36"/>
      <c r="F19" s="36"/>
      <c r="G19" s="36"/>
      <c r="H19" s="36"/>
      <c r="I19" s="36"/>
      <c r="J19" s="36"/>
      <c r="K19" s="36"/>
      <c r="L19" s="9"/>
    </row>
    <row r="20" spans="2:12">
      <c r="B20" s="7"/>
      <c r="L20" s="9"/>
    </row>
    <row r="21" spans="2:12">
      <c r="B21" s="7"/>
      <c r="C21" s="22" t="s">
        <v>14</v>
      </c>
      <c r="D21" s="8"/>
      <c r="E21" s="8"/>
      <c r="F21" s="8"/>
      <c r="L21" s="9"/>
    </row>
    <row r="22" spans="2:12">
      <c r="B22" s="7"/>
      <c r="C22" s="19" t="s">
        <v>22</v>
      </c>
      <c r="D22" s="19" t="s">
        <v>23</v>
      </c>
      <c r="E22" s="23" t="s">
        <v>24</v>
      </c>
      <c r="F22" s="23" t="s">
        <v>25</v>
      </c>
      <c r="G22" s="18" t="s">
        <v>26</v>
      </c>
      <c r="H22" s="19" t="s">
        <v>27</v>
      </c>
      <c r="I22" s="19" t="s">
        <v>28</v>
      </c>
      <c r="J22" s="19" t="s">
        <v>29</v>
      </c>
      <c r="K22" s="19" t="s">
        <v>30</v>
      </c>
      <c r="L22" s="9"/>
    </row>
    <row r="23" spans="2:12">
      <c r="B23" s="7"/>
      <c r="C23" s="3">
        <v>41218</v>
      </c>
      <c r="D23" s="17">
        <v>264419</v>
      </c>
      <c r="E23" s="24">
        <v>205</v>
      </c>
      <c r="F23" s="29">
        <f t="shared" ref="F23" si="0">E23/D23</f>
        <v>7.75284680752896E-4</v>
      </c>
      <c r="G23" s="17">
        <v>10</v>
      </c>
      <c r="H23" s="28">
        <v>471.36</v>
      </c>
      <c r="I23" s="1">
        <v>153.13731999999999</v>
      </c>
      <c r="J23" s="1">
        <f t="shared" ref="J23" si="1">I23/D23*1000</f>
        <v>0.57914643047587344</v>
      </c>
      <c r="K23" s="1">
        <f t="shared" ref="K23" si="2">I23/E23</f>
        <v>0.7470113170731707</v>
      </c>
      <c r="L23" s="9"/>
    </row>
    <row r="24" spans="2:12">
      <c r="B24" s="7"/>
      <c r="C24" s="3">
        <v>41219</v>
      </c>
      <c r="D24" s="17">
        <v>180953</v>
      </c>
      <c r="E24" s="24">
        <v>105</v>
      </c>
      <c r="F24" s="29">
        <f t="shared" ref="F24:F29" si="3">E24/D24</f>
        <v>5.8026117279072465E-4</v>
      </c>
      <c r="G24" s="17">
        <v>12</v>
      </c>
      <c r="H24" s="28">
        <v>920.2</v>
      </c>
      <c r="I24" s="1">
        <v>117.70059999999999</v>
      </c>
      <c r="J24" s="1">
        <f t="shared" ref="J24:J29" si="4">I24/D24*1000</f>
        <v>0.6504484589921139</v>
      </c>
      <c r="K24" s="1">
        <f t="shared" ref="K24:K29" si="5">I24/E24</f>
        <v>1.1209580952380951</v>
      </c>
      <c r="L24" s="9"/>
    </row>
    <row r="25" spans="2:12">
      <c r="B25" s="7"/>
      <c r="C25" s="3">
        <v>41220</v>
      </c>
      <c r="D25" s="17">
        <v>181642</v>
      </c>
      <c r="E25" s="24">
        <v>139</v>
      </c>
      <c r="F25" s="29">
        <f t="shared" si="3"/>
        <v>7.6524151903194194E-4</v>
      </c>
      <c r="G25" s="17">
        <v>12</v>
      </c>
      <c r="H25" s="28">
        <v>757.38</v>
      </c>
      <c r="I25" s="1">
        <v>153.6508</v>
      </c>
      <c r="J25" s="1">
        <f t="shared" si="4"/>
        <v>0.84589907620484261</v>
      </c>
      <c r="K25" s="1">
        <f t="shared" si="5"/>
        <v>1.1054014388489208</v>
      </c>
      <c r="L25" s="9"/>
    </row>
    <row r="26" spans="2:12">
      <c r="B26" s="7"/>
      <c r="C26" s="3">
        <v>41221</v>
      </c>
      <c r="D26" s="17">
        <v>198693</v>
      </c>
      <c r="E26" s="24">
        <v>148</v>
      </c>
      <c r="F26" s="29">
        <f t="shared" si="3"/>
        <v>7.4486771048803936E-4</v>
      </c>
      <c r="G26" s="17">
        <v>10</v>
      </c>
      <c r="H26" s="28">
        <v>404.64</v>
      </c>
      <c r="I26" s="1">
        <v>129.34101000000001</v>
      </c>
      <c r="J26" s="1">
        <f t="shared" si="4"/>
        <v>0.65095906750615284</v>
      </c>
      <c r="K26" s="1">
        <f t="shared" si="5"/>
        <v>0.87392574324324335</v>
      </c>
      <c r="L26" s="9"/>
    </row>
    <row r="27" spans="2:12">
      <c r="B27" s="7"/>
      <c r="C27" s="3">
        <v>41222</v>
      </c>
      <c r="D27" s="17">
        <v>331138</v>
      </c>
      <c r="E27" s="24">
        <v>331</v>
      </c>
      <c r="F27" s="29">
        <f t="shared" si="3"/>
        <v>9.9958325531953446E-4</v>
      </c>
      <c r="G27" s="17">
        <v>9</v>
      </c>
      <c r="H27" s="28">
        <v>353.7</v>
      </c>
      <c r="I27" s="1">
        <v>255.82570999999999</v>
      </c>
      <c r="J27" s="1">
        <f t="shared" si="4"/>
        <v>0.7725652447016047</v>
      </c>
      <c r="K27" s="1">
        <f t="shared" si="5"/>
        <v>0.77288734138972803</v>
      </c>
      <c r="L27" s="9"/>
    </row>
    <row r="28" spans="2:12">
      <c r="B28" s="7"/>
      <c r="C28" s="3">
        <v>41223</v>
      </c>
      <c r="D28" s="17">
        <v>222677</v>
      </c>
      <c r="E28" s="24">
        <v>215</v>
      </c>
      <c r="F28" s="29">
        <f t="shared" si="3"/>
        <v>9.6552405502139873E-4</v>
      </c>
      <c r="G28" s="17">
        <v>10</v>
      </c>
      <c r="H28" s="28">
        <v>576.28</v>
      </c>
      <c r="I28" s="1">
        <v>183.80068</v>
      </c>
      <c r="J28" s="1">
        <f t="shared" si="4"/>
        <v>0.82541385055483951</v>
      </c>
      <c r="K28" s="1">
        <f t="shared" si="5"/>
        <v>0.85488688372093025</v>
      </c>
      <c r="L28" s="9"/>
    </row>
    <row r="29" spans="2:12">
      <c r="B29" s="7"/>
      <c r="C29" s="3">
        <v>41224</v>
      </c>
      <c r="D29" s="17">
        <v>339161</v>
      </c>
      <c r="E29" s="24">
        <v>318</v>
      </c>
      <c r="F29" s="29">
        <f t="shared" si="3"/>
        <v>9.3760780278392855E-4</v>
      </c>
      <c r="G29" s="17">
        <v>6</v>
      </c>
      <c r="H29" s="28">
        <v>212.73</v>
      </c>
      <c r="I29" s="1">
        <v>255.26712000000001</v>
      </c>
      <c r="J29" s="1">
        <f t="shared" si="4"/>
        <v>0.7526429041074888</v>
      </c>
      <c r="K29" s="1">
        <f t="shared" si="5"/>
        <v>0.80272679245283018</v>
      </c>
      <c r="L29" s="9"/>
    </row>
    <row r="30" spans="2:12">
      <c r="B30" s="7"/>
      <c r="C30" s="11" t="s">
        <v>31</v>
      </c>
      <c r="D30" s="4">
        <f>SUM(D23:D29)</f>
        <v>1718683</v>
      </c>
      <c r="E30" s="26">
        <f>SUM(E23:E29)</f>
        <v>1461</v>
      </c>
      <c r="F30" s="30">
        <f>E30/D30</f>
        <v>8.500695008910893E-4</v>
      </c>
      <c r="G30" s="4">
        <f>SUM(G23:G29)</f>
        <v>69</v>
      </c>
      <c r="H30" s="5">
        <f>SUM(H23:H29)</f>
        <v>3696.2899999999995</v>
      </c>
      <c r="I30" s="5">
        <f>SUM(I23:I29)</f>
        <v>1248.72324</v>
      </c>
      <c r="J30" s="5">
        <f>I30/D30*1000</f>
        <v>0.72655820765085832</v>
      </c>
      <c r="K30" s="5">
        <f>I30/E30</f>
        <v>0.85470447638603697</v>
      </c>
      <c r="L30" s="9"/>
    </row>
    <row r="31" spans="2:12">
      <c r="B31" s="7"/>
      <c r="C31" s="8"/>
      <c r="D31" s="8"/>
      <c r="E31" s="8"/>
      <c r="F31" s="8"/>
      <c r="L31" s="9"/>
    </row>
    <row r="32" spans="2:12">
      <c r="B32" s="7"/>
      <c r="C32" s="16" t="s">
        <v>15</v>
      </c>
      <c r="D32" s="20"/>
      <c r="E32" s="20"/>
      <c r="F32" s="21"/>
      <c r="G32" s="8"/>
      <c r="H32" s="8"/>
      <c r="I32" s="8"/>
      <c r="J32" s="8"/>
      <c r="K32" s="8"/>
      <c r="L32" s="9"/>
    </row>
    <row r="33" spans="2:12"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5" spans="2:12">
      <c r="B35" s="15"/>
      <c r="D35" s="16"/>
      <c r="E35" s="16"/>
      <c r="F35" s="16"/>
    </row>
    <row r="36" spans="2:12">
      <c r="B36" s="16"/>
      <c r="C36" s="16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</sheetData>
  <mergeCells count="2">
    <mergeCell ref="B2:L2"/>
    <mergeCell ref="C9:K19"/>
  </mergeCells>
  <phoneticPr fontId="25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2:L39"/>
  <sheetViews>
    <sheetView topLeftCell="A5" workbookViewId="0">
      <selection activeCell="C9" sqref="C9:K20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41225</v>
      </c>
      <c r="D6" s="2">
        <v>41231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43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C19" s="36"/>
      <c r="D19" s="36"/>
      <c r="E19" s="36"/>
      <c r="F19" s="36"/>
      <c r="G19" s="36"/>
      <c r="H19" s="36"/>
      <c r="I19" s="36"/>
      <c r="J19" s="36"/>
      <c r="K19" s="36"/>
      <c r="L19" s="9"/>
    </row>
    <row r="20" spans="2:12">
      <c r="B20" s="7"/>
      <c r="C20" s="36"/>
      <c r="D20" s="36"/>
      <c r="E20" s="36"/>
      <c r="F20" s="36"/>
      <c r="G20" s="36"/>
      <c r="H20" s="36"/>
      <c r="I20" s="36"/>
      <c r="J20" s="36"/>
      <c r="K20" s="36"/>
      <c r="L20" s="9"/>
    </row>
    <row r="21" spans="2:12">
      <c r="B21" s="7"/>
      <c r="L21" s="9"/>
    </row>
    <row r="22" spans="2:12">
      <c r="B22" s="7"/>
      <c r="C22" s="22" t="s">
        <v>14</v>
      </c>
      <c r="D22" s="8"/>
      <c r="E22" s="8"/>
      <c r="F22" s="8"/>
      <c r="L22" s="9"/>
    </row>
    <row r="23" spans="2:12">
      <c r="B23" s="7"/>
      <c r="C23" s="19" t="s">
        <v>33</v>
      </c>
      <c r="D23" s="19" t="s">
        <v>34</v>
      </c>
      <c r="E23" s="23" t="s">
        <v>35</v>
      </c>
      <c r="F23" s="23" t="s">
        <v>36</v>
      </c>
      <c r="G23" s="18" t="s">
        <v>37</v>
      </c>
      <c r="H23" s="19" t="s">
        <v>38</v>
      </c>
      <c r="I23" s="19" t="s">
        <v>39</v>
      </c>
      <c r="J23" s="19" t="s">
        <v>40</v>
      </c>
      <c r="K23" s="19" t="s">
        <v>41</v>
      </c>
      <c r="L23" s="9"/>
    </row>
    <row r="24" spans="2:12">
      <c r="B24" s="7"/>
      <c r="C24" s="3">
        <v>41225</v>
      </c>
      <c r="D24" s="17">
        <v>343199</v>
      </c>
      <c r="E24" s="24">
        <v>272</v>
      </c>
      <c r="F24" s="29">
        <f t="shared" ref="F24:F30" si="0">E24/D24</f>
        <v>7.9254310181556471E-4</v>
      </c>
      <c r="G24" s="17">
        <v>11</v>
      </c>
      <c r="H24" s="28">
        <v>383.12</v>
      </c>
      <c r="I24" s="1">
        <v>270.47000000000003</v>
      </c>
      <c r="J24" s="1">
        <f t="shared" ref="J24:J30" si="1">I24/D24*1000</f>
        <v>0.7880850468678523</v>
      </c>
      <c r="K24" s="1">
        <f t="shared" ref="K24:K30" si="2">I24/E24</f>
        <v>0.99437500000000012</v>
      </c>
      <c r="L24" s="9"/>
    </row>
    <row r="25" spans="2:12">
      <c r="B25" s="7"/>
      <c r="C25" s="3">
        <v>41226</v>
      </c>
      <c r="D25" s="17">
        <v>263370</v>
      </c>
      <c r="E25" s="24">
        <v>359</v>
      </c>
      <c r="F25" s="29">
        <f t="shared" si="0"/>
        <v>1.3631013403197023E-3</v>
      </c>
      <c r="G25" s="17">
        <v>6</v>
      </c>
      <c r="H25" s="28">
        <v>345.66</v>
      </c>
      <c r="I25" s="1">
        <v>128.49</v>
      </c>
      <c r="J25" s="1">
        <f t="shared" si="1"/>
        <v>0.48786877776512133</v>
      </c>
      <c r="K25" s="1">
        <f t="shared" si="2"/>
        <v>0.35791086350974932</v>
      </c>
      <c r="L25" s="9"/>
    </row>
    <row r="26" spans="2:12">
      <c r="B26" s="7"/>
      <c r="C26" s="3">
        <v>41227</v>
      </c>
      <c r="D26" s="17">
        <v>333236</v>
      </c>
      <c r="E26" s="24">
        <v>248</v>
      </c>
      <c r="F26" s="29">
        <f t="shared" si="0"/>
        <v>7.4421731145494488E-4</v>
      </c>
      <c r="G26" s="17">
        <v>12</v>
      </c>
      <c r="H26" s="28">
        <v>908.69</v>
      </c>
      <c r="I26" s="1">
        <v>259.39999999999998</v>
      </c>
      <c r="J26" s="1">
        <f t="shared" si="1"/>
        <v>0.77842730077182531</v>
      </c>
      <c r="K26" s="1">
        <f t="shared" si="2"/>
        <v>1.0459677419354838</v>
      </c>
      <c r="L26" s="9"/>
    </row>
    <row r="27" spans="2:12">
      <c r="B27" s="7"/>
      <c r="C27" s="3">
        <v>41228</v>
      </c>
      <c r="D27" s="17">
        <v>307692</v>
      </c>
      <c r="E27" s="24">
        <v>171</v>
      </c>
      <c r="F27" s="29">
        <f t="shared" si="0"/>
        <v>5.5575055575055575E-4</v>
      </c>
      <c r="G27" s="17">
        <v>17</v>
      </c>
      <c r="H27" s="28">
        <v>610.17999999999995</v>
      </c>
      <c r="I27" s="1">
        <v>251.44</v>
      </c>
      <c r="J27" s="1">
        <f t="shared" si="1"/>
        <v>0.81718081718081714</v>
      </c>
      <c r="K27" s="1">
        <f t="shared" si="2"/>
        <v>1.4704093567251462</v>
      </c>
      <c r="L27" s="9"/>
    </row>
    <row r="28" spans="2:12">
      <c r="B28" s="7"/>
      <c r="C28" s="3">
        <v>41229</v>
      </c>
      <c r="D28" s="17">
        <v>313843</v>
      </c>
      <c r="E28" s="24">
        <v>153</v>
      </c>
      <c r="F28" s="29">
        <f t="shared" si="0"/>
        <v>4.8750489894628843E-4</v>
      </c>
      <c r="G28" s="17">
        <v>7</v>
      </c>
      <c r="H28" s="28">
        <v>289.68</v>
      </c>
      <c r="I28" s="1">
        <v>249.69</v>
      </c>
      <c r="J28" s="1">
        <f t="shared" si="1"/>
        <v>0.79558887724116834</v>
      </c>
      <c r="K28" s="1">
        <f t="shared" si="2"/>
        <v>1.6319607843137254</v>
      </c>
      <c r="L28" s="9"/>
    </row>
    <row r="29" spans="2:12">
      <c r="B29" s="7"/>
      <c r="C29" s="3">
        <v>41230</v>
      </c>
      <c r="D29" s="17">
        <v>327905</v>
      </c>
      <c r="E29" s="24">
        <v>153</v>
      </c>
      <c r="F29" s="29">
        <f t="shared" si="0"/>
        <v>4.6659855750903463E-4</v>
      </c>
      <c r="G29" s="17">
        <v>12</v>
      </c>
      <c r="H29" s="28">
        <v>791.43</v>
      </c>
      <c r="I29" s="1">
        <v>249.62</v>
      </c>
      <c r="J29" s="1">
        <f t="shared" si="1"/>
        <v>0.76125707140787735</v>
      </c>
      <c r="K29" s="1">
        <f t="shared" si="2"/>
        <v>1.6315032679738561</v>
      </c>
      <c r="L29" s="9"/>
    </row>
    <row r="30" spans="2:12">
      <c r="B30" s="7"/>
      <c r="C30" s="3">
        <v>41231</v>
      </c>
      <c r="D30" s="17">
        <v>333454</v>
      </c>
      <c r="E30" s="24">
        <v>180</v>
      </c>
      <c r="F30" s="29">
        <f t="shared" si="0"/>
        <v>5.398045907381528E-4</v>
      </c>
      <c r="G30" s="17">
        <v>20</v>
      </c>
      <c r="H30" s="28">
        <v>1750.36</v>
      </c>
      <c r="I30" s="1">
        <v>249.54</v>
      </c>
      <c r="J30" s="1">
        <f t="shared" si="1"/>
        <v>0.74834909762665913</v>
      </c>
      <c r="K30" s="1">
        <f t="shared" si="2"/>
        <v>1.3863333333333332</v>
      </c>
      <c r="L30" s="9"/>
    </row>
    <row r="31" spans="2:12">
      <c r="B31" s="7"/>
      <c r="C31" s="11" t="s">
        <v>42</v>
      </c>
      <c r="D31" s="4">
        <f>SUM(D24:D30)</f>
        <v>2222699</v>
      </c>
      <c r="E31" s="26">
        <f>SUM(E24:E30)</f>
        <v>1536</v>
      </c>
      <c r="F31" s="30">
        <f>E31/D31</f>
        <v>6.9105173485028786E-4</v>
      </c>
      <c r="G31" s="4">
        <f>SUM(G24:G30)</f>
        <v>85</v>
      </c>
      <c r="H31" s="5">
        <f>SUM(H24:H30)</f>
        <v>5079.12</v>
      </c>
      <c r="I31" s="5">
        <f>SUM(I24:I30)</f>
        <v>1658.65</v>
      </c>
      <c r="J31" s="5">
        <f>I31/D31*1000</f>
        <v>0.74623239583947265</v>
      </c>
      <c r="K31" s="5">
        <f>I31/E31</f>
        <v>1.0798502604166667</v>
      </c>
      <c r="L31" s="9"/>
    </row>
    <row r="32" spans="2:12">
      <c r="B32" s="7"/>
      <c r="C32" s="8"/>
      <c r="D32" s="8"/>
      <c r="E32" s="8"/>
      <c r="F32" s="8"/>
      <c r="L32" s="9"/>
    </row>
    <row r="33" spans="2:12">
      <c r="B33" s="7"/>
      <c r="C33" s="16" t="s">
        <v>15</v>
      </c>
      <c r="D33" s="20"/>
      <c r="E33" s="20"/>
      <c r="F33" s="21"/>
      <c r="G33" s="8"/>
      <c r="H33" s="8"/>
      <c r="I33" s="8"/>
      <c r="J33" s="8"/>
      <c r="K33" s="8"/>
      <c r="L33" s="9"/>
    </row>
    <row r="34" spans="2:12"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6" spans="2:12">
      <c r="B36" s="15"/>
      <c r="D36" s="16"/>
      <c r="E36" s="16"/>
      <c r="F36" s="16"/>
    </row>
    <row r="37" spans="2:12">
      <c r="B37" s="16"/>
      <c r="C37" s="16"/>
      <c r="D37" s="16"/>
      <c r="E37" s="16"/>
      <c r="F37" s="16"/>
    </row>
    <row r="38" spans="2:12">
      <c r="B38" s="16"/>
      <c r="C38" s="16"/>
      <c r="D38" s="16"/>
      <c r="E38" s="16"/>
      <c r="F38" s="16"/>
    </row>
    <row r="39" spans="2:12">
      <c r="B39" s="16"/>
      <c r="C39" s="16"/>
      <c r="D39" s="16"/>
      <c r="E39" s="16"/>
      <c r="F39" s="16"/>
    </row>
  </sheetData>
  <mergeCells count="2">
    <mergeCell ref="B2:L2"/>
    <mergeCell ref="C9:K20"/>
  </mergeCells>
  <phoneticPr fontId="2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2:L37"/>
  <sheetViews>
    <sheetView workbookViewId="0">
      <selection activeCell="F26" sqref="F26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41232</v>
      </c>
      <c r="D6" s="2">
        <v>41238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54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44</v>
      </c>
      <c r="D21" s="19" t="s">
        <v>45</v>
      </c>
      <c r="E21" s="23" t="s">
        <v>46</v>
      </c>
      <c r="F21" s="23" t="s">
        <v>47</v>
      </c>
      <c r="G21" s="18" t="s">
        <v>48</v>
      </c>
      <c r="H21" s="19" t="s">
        <v>49</v>
      </c>
      <c r="I21" s="19" t="s">
        <v>50</v>
      </c>
      <c r="J21" s="19" t="s">
        <v>51</v>
      </c>
      <c r="K21" s="19" t="s">
        <v>52</v>
      </c>
      <c r="L21" s="9"/>
    </row>
    <row r="22" spans="2:12">
      <c r="B22" s="7"/>
      <c r="C22" s="3">
        <v>41232</v>
      </c>
      <c r="D22" s="17">
        <v>351975</v>
      </c>
      <c r="E22" s="24">
        <v>205</v>
      </c>
      <c r="F22" s="31">
        <f t="shared" ref="F22:F28" si="0">E22/D22</f>
        <v>5.8242772924213364E-4</v>
      </c>
      <c r="G22" s="17">
        <v>5</v>
      </c>
      <c r="H22" s="28">
        <v>390.65</v>
      </c>
      <c r="I22" s="1">
        <v>254.44</v>
      </c>
      <c r="J22" s="1">
        <f t="shared" ref="J22" si="1">I22/D22*1000</f>
        <v>0.72289225087009013</v>
      </c>
      <c r="K22" s="1">
        <f t="shared" ref="K22" si="2">I22/E22</f>
        <v>1.2411707317073171</v>
      </c>
      <c r="L22" s="9"/>
    </row>
    <row r="23" spans="2:12">
      <c r="B23" s="7"/>
      <c r="C23" s="3">
        <v>41233</v>
      </c>
      <c r="D23" s="17">
        <v>365322</v>
      </c>
      <c r="E23" s="24">
        <v>268</v>
      </c>
      <c r="F23" s="31">
        <f t="shared" si="0"/>
        <v>7.3359939998138626E-4</v>
      </c>
      <c r="G23" s="17">
        <v>16</v>
      </c>
      <c r="H23" s="28">
        <v>875.8</v>
      </c>
      <c r="I23" s="1">
        <v>249.78</v>
      </c>
      <c r="J23" s="1">
        <f t="shared" ref="J23:J28" si="3">I23/D23*1000</f>
        <v>0.68372559002742794</v>
      </c>
      <c r="K23" s="1">
        <f t="shared" ref="K23:K28" si="4">I23/E23</f>
        <v>0.93201492537313435</v>
      </c>
      <c r="L23" s="9"/>
    </row>
    <row r="24" spans="2:12">
      <c r="B24" s="7"/>
      <c r="C24" s="3">
        <v>41234</v>
      </c>
      <c r="D24" s="17">
        <v>378371</v>
      </c>
      <c r="E24" s="24">
        <v>244</v>
      </c>
      <c r="F24" s="31">
        <f t="shared" si="0"/>
        <v>6.4486971781664028E-4</v>
      </c>
      <c r="G24" s="17">
        <v>17</v>
      </c>
      <c r="H24" s="28">
        <v>657.17</v>
      </c>
      <c r="I24" s="1">
        <v>248.71</v>
      </c>
      <c r="J24" s="1">
        <f t="shared" si="3"/>
        <v>0.65731781769744513</v>
      </c>
      <c r="K24" s="1">
        <f t="shared" si="4"/>
        <v>1.0193032786885245</v>
      </c>
      <c r="L24" s="9"/>
    </row>
    <row r="25" spans="2:12">
      <c r="B25" s="7"/>
      <c r="C25" s="3">
        <v>41235</v>
      </c>
      <c r="D25" s="17">
        <v>330954</v>
      </c>
      <c r="E25" s="24">
        <v>188</v>
      </c>
      <c r="F25" s="31">
        <f t="shared" si="0"/>
        <v>5.6805477498383461E-4</v>
      </c>
      <c r="G25" s="17">
        <v>9</v>
      </c>
      <c r="H25" s="28">
        <v>521.12</v>
      </c>
      <c r="I25" s="1">
        <v>240.66</v>
      </c>
      <c r="J25" s="1">
        <f t="shared" si="3"/>
        <v>0.72717054333834907</v>
      </c>
      <c r="K25" s="1">
        <f t="shared" si="4"/>
        <v>1.2801063829787234</v>
      </c>
      <c r="L25" s="9"/>
    </row>
    <row r="26" spans="2:12">
      <c r="B26" s="7"/>
      <c r="C26" s="3">
        <v>41236</v>
      </c>
      <c r="D26" s="17">
        <v>380977</v>
      </c>
      <c r="E26" s="24">
        <v>239</v>
      </c>
      <c r="F26" s="31">
        <f t="shared" si="0"/>
        <v>6.273344585106188E-4</v>
      </c>
      <c r="G26" s="17">
        <v>5</v>
      </c>
      <c r="H26" s="28">
        <v>245.75</v>
      </c>
      <c r="I26" s="1">
        <v>251.64</v>
      </c>
      <c r="J26" s="1">
        <f t="shared" si="3"/>
        <v>0.66051231439168245</v>
      </c>
      <c r="K26" s="1">
        <f t="shared" si="4"/>
        <v>1.0528870292887029</v>
      </c>
      <c r="L26" s="9"/>
    </row>
    <row r="27" spans="2:12">
      <c r="B27" s="7"/>
      <c r="C27" s="3">
        <v>41237</v>
      </c>
      <c r="D27" s="17">
        <v>403901</v>
      </c>
      <c r="E27" s="24">
        <v>283</v>
      </c>
      <c r="F27" s="31">
        <f t="shared" si="0"/>
        <v>7.0066674754457156E-4</v>
      </c>
      <c r="G27" s="17">
        <v>7</v>
      </c>
      <c r="H27" s="28">
        <v>331.74</v>
      </c>
      <c r="I27" s="1">
        <v>249.65</v>
      </c>
      <c r="J27" s="1">
        <f t="shared" si="3"/>
        <v>0.6180970089205029</v>
      </c>
      <c r="K27" s="1">
        <f t="shared" si="4"/>
        <v>0.88215547703180219</v>
      </c>
      <c r="L27" s="9"/>
    </row>
    <row r="28" spans="2:12">
      <c r="B28" s="7"/>
      <c r="C28" s="3">
        <v>41238</v>
      </c>
      <c r="D28" s="17">
        <v>390423</v>
      </c>
      <c r="E28" s="24">
        <v>314</v>
      </c>
      <c r="F28" s="31">
        <f t="shared" si="0"/>
        <v>8.0425589680935803E-4</v>
      </c>
      <c r="G28" s="17">
        <v>21</v>
      </c>
      <c r="H28" s="28">
        <v>906.24</v>
      </c>
      <c r="I28" s="1">
        <v>249.8</v>
      </c>
      <c r="J28" s="1">
        <f t="shared" si="3"/>
        <v>0.63981886313050207</v>
      </c>
      <c r="K28" s="1">
        <f t="shared" si="4"/>
        <v>0.7955414012738854</v>
      </c>
      <c r="L28" s="9"/>
    </row>
    <row r="29" spans="2:12">
      <c r="B29" s="7"/>
      <c r="C29" s="11" t="s">
        <v>53</v>
      </c>
      <c r="D29" s="4">
        <f>SUM(D22:D28)</f>
        <v>2601923</v>
      </c>
      <c r="E29" s="26">
        <f>SUM(E22:E28)</f>
        <v>1741</v>
      </c>
      <c r="F29" s="30">
        <f>E29/D29</f>
        <v>6.6912049280474476E-4</v>
      </c>
      <c r="G29" s="4">
        <f>SUM(G22:G28)</f>
        <v>80</v>
      </c>
      <c r="H29" s="5">
        <f>SUM(H22:H28)</f>
        <v>3928.4699999999993</v>
      </c>
      <c r="I29" s="5">
        <f>SUM(I22:I28)</f>
        <v>1744.68</v>
      </c>
      <c r="J29" s="5">
        <f>I29/D29*1000</f>
        <v>0.67053483135357972</v>
      </c>
      <c r="K29" s="5">
        <f>I29/E29</f>
        <v>1.0021137277426766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L37"/>
  <sheetViews>
    <sheetView tabSelected="1" workbookViewId="0">
      <selection activeCell="B2" sqref="B2:L2"/>
    </sheetView>
  </sheetViews>
  <sheetFormatPr defaultColWidth="9" defaultRowHeight="14.25"/>
  <cols>
    <col min="1" max="1" width="3.625" style="6" customWidth="1"/>
    <col min="2" max="2" width="2.625" style="6" customWidth="1"/>
    <col min="3" max="3" width="17.25" style="6" customWidth="1"/>
    <col min="4" max="4" width="14.625" style="6" customWidth="1"/>
    <col min="5" max="5" width="12.875" style="6" customWidth="1"/>
    <col min="6" max="6" width="13.25" style="6" customWidth="1"/>
    <col min="7" max="7" width="13.5" style="6" customWidth="1"/>
    <col min="8" max="8" width="16" style="6" customWidth="1"/>
    <col min="9" max="9" width="14.375" style="6" bestFit="1" customWidth="1"/>
    <col min="10" max="11" width="12.625" style="6" customWidth="1"/>
    <col min="12" max="12" width="2.625" style="6" customWidth="1"/>
    <col min="13" max="16384" width="9" style="6"/>
  </cols>
  <sheetData>
    <row r="2" spans="2:12" ht="15.75">
      <c r="B2" s="32" t="s">
        <v>18</v>
      </c>
      <c r="C2" s="33"/>
      <c r="D2" s="33"/>
      <c r="E2" s="33"/>
      <c r="F2" s="33"/>
      <c r="G2" s="33"/>
      <c r="H2" s="33"/>
      <c r="I2" s="33"/>
      <c r="J2" s="33"/>
      <c r="K2" s="33"/>
      <c r="L2" s="34"/>
    </row>
    <row r="3" spans="2:12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4" spans="2:12">
      <c r="B4" s="7"/>
      <c r="C4" s="10" t="s">
        <v>0</v>
      </c>
      <c r="E4" s="8"/>
      <c r="F4" s="8"/>
      <c r="G4" s="8"/>
      <c r="H4" s="8"/>
      <c r="I4" s="8"/>
      <c r="J4" s="8"/>
      <c r="K4" s="8"/>
      <c r="L4" s="9"/>
    </row>
    <row r="5" spans="2:12">
      <c r="B5" s="7"/>
      <c r="C5" s="19" t="s">
        <v>1</v>
      </c>
      <c r="D5" s="19" t="s">
        <v>2</v>
      </c>
      <c r="E5" s="8"/>
      <c r="F5" s="8"/>
      <c r="G5" s="8"/>
      <c r="H5" s="8"/>
      <c r="I5" s="8"/>
      <c r="J5" s="8"/>
      <c r="K5" s="8"/>
      <c r="L5" s="9"/>
    </row>
    <row r="6" spans="2:12">
      <c r="B6" s="7"/>
      <c r="C6" s="2">
        <v>41239</v>
      </c>
      <c r="D6" s="2">
        <v>41245</v>
      </c>
      <c r="E6" s="8"/>
      <c r="F6" s="8"/>
      <c r="G6" s="8"/>
      <c r="H6" s="8"/>
      <c r="I6" s="8"/>
      <c r="J6" s="8"/>
      <c r="K6" s="8"/>
      <c r="L6" s="9"/>
    </row>
    <row r="7" spans="2:12">
      <c r="B7" s="7"/>
      <c r="C7" s="8"/>
      <c r="D7" s="8"/>
      <c r="E7" s="8"/>
      <c r="F7" s="8"/>
      <c r="G7" s="8"/>
      <c r="H7" s="8"/>
      <c r="I7" s="8"/>
      <c r="J7" s="8"/>
      <c r="K7" s="8"/>
      <c r="L7" s="9"/>
    </row>
    <row r="8" spans="2:12">
      <c r="B8" s="7"/>
      <c r="C8" s="22" t="s">
        <v>13</v>
      </c>
      <c r="G8" s="8"/>
      <c r="H8" s="8"/>
      <c r="I8" s="8"/>
      <c r="J8" s="8"/>
      <c r="K8" s="8"/>
      <c r="L8" s="9"/>
    </row>
    <row r="9" spans="2:12" ht="13.5" customHeight="1">
      <c r="B9" s="7"/>
      <c r="C9" s="35" t="s">
        <v>54</v>
      </c>
      <c r="D9" s="36"/>
      <c r="E9" s="36"/>
      <c r="F9" s="36"/>
      <c r="G9" s="36"/>
      <c r="H9" s="36"/>
      <c r="I9" s="36"/>
      <c r="J9" s="36"/>
      <c r="K9" s="36"/>
      <c r="L9" s="9"/>
    </row>
    <row r="10" spans="2:12">
      <c r="B10" s="7"/>
      <c r="C10" s="36"/>
      <c r="D10" s="36"/>
      <c r="E10" s="36"/>
      <c r="F10" s="36"/>
      <c r="G10" s="36"/>
      <c r="H10" s="36"/>
      <c r="I10" s="36"/>
      <c r="J10" s="36"/>
      <c r="K10" s="36"/>
      <c r="L10" s="9"/>
    </row>
    <row r="11" spans="2:12">
      <c r="B11" s="7"/>
      <c r="C11" s="36"/>
      <c r="D11" s="36"/>
      <c r="E11" s="36"/>
      <c r="F11" s="36"/>
      <c r="G11" s="36"/>
      <c r="H11" s="36"/>
      <c r="I11" s="36"/>
      <c r="J11" s="36"/>
      <c r="K11" s="36"/>
      <c r="L11" s="9"/>
    </row>
    <row r="12" spans="2:12">
      <c r="B12" s="7"/>
      <c r="C12" s="36"/>
      <c r="D12" s="36"/>
      <c r="E12" s="36"/>
      <c r="F12" s="36"/>
      <c r="G12" s="36"/>
      <c r="H12" s="36"/>
      <c r="I12" s="36"/>
      <c r="J12" s="36"/>
      <c r="K12" s="36"/>
      <c r="L12" s="9"/>
    </row>
    <row r="13" spans="2:12">
      <c r="B13" s="7"/>
      <c r="C13" s="36"/>
      <c r="D13" s="36"/>
      <c r="E13" s="36"/>
      <c r="F13" s="36"/>
      <c r="G13" s="36"/>
      <c r="H13" s="36"/>
      <c r="I13" s="36"/>
      <c r="J13" s="36"/>
      <c r="K13" s="36"/>
      <c r="L13" s="9"/>
    </row>
    <row r="14" spans="2:12">
      <c r="B14" s="7"/>
      <c r="C14" s="36"/>
      <c r="D14" s="36"/>
      <c r="E14" s="36"/>
      <c r="F14" s="36"/>
      <c r="G14" s="36"/>
      <c r="H14" s="36"/>
      <c r="I14" s="36"/>
      <c r="J14" s="36"/>
      <c r="K14" s="36"/>
      <c r="L14" s="9"/>
    </row>
    <row r="15" spans="2:12">
      <c r="B15" s="7"/>
      <c r="C15" s="36"/>
      <c r="D15" s="36"/>
      <c r="E15" s="36"/>
      <c r="F15" s="36"/>
      <c r="G15" s="36"/>
      <c r="H15" s="36"/>
      <c r="I15" s="36"/>
      <c r="J15" s="36"/>
      <c r="K15" s="36"/>
      <c r="L15" s="9"/>
    </row>
    <row r="16" spans="2:12">
      <c r="B16" s="7"/>
      <c r="C16" s="36"/>
      <c r="D16" s="36"/>
      <c r="E16" s="36"/>
      <c r="F16" s="36"/>
      <c r="G16" s="36"/>
      <c r="H16" s="36"/>
      <c r="I16" s="36"/>
      <c r="J16" s="36"/>
      <c r="K16" s="36"/>
      <c r="L16" s="9"/>
    </row>
    <row r="17" spans="2:12">
      <c r="B17" s="7"/>
      <c r="C17" s="36"/>
      <c r="D17" s="36"/>
      <c r="E17" s="36"/>
      <c r="F17" s="36"/>
      <c r="G17" s="36"/>
      <c r="H17" s="36"/>
      <c r="I17" s="36"/>
      <c r="J17" s="36"/>
      <c r="K17" s="36"/>
      <c r="L17" s="9"/>
    </row>
    <row r="18" spans="2:12">
      <c r="B18" s="7"/>
      <c r="C18" s="36"/>
      <c r="D18" s="36"/>
      <c r="E18" s="36"/>
      <c r="F18" s="36"/>
      <c r="G18" s="36"/>
      <c r="H18" s="36"/>
      <c r="I18" s="36"/>
      <c r="J18" s="36"/>
      <c r="K18" s="36"/>
      <c r="L18" s="9"/>
    </row>
    <row r="19" spans="2:12">
      <c r="B19" s="7"/>
      <c r="L19" s="9"/>
    </row>
    <row r="20" spans="2:12">
      <c r="B20" s="7"/>
      <c r="C20" s="22" t="s">
        <v>14</v>
      </c>
      <c r="D20" s="8"/>
      <c r="E20" s="8"/>
      <c r="F20" s="8"/>
      <c r="L20" s="9"/>
    </row>
    <row r="21" spans="2:12">
      <c r="B21" s="7"/>
      <c r="C21" s="19" t="s">
        <v>55</v>
      </c>
      <c r="D21" s="19" t="s">
        <v>56</v>
      </c>
      <c r="E21" s="23" t="s">
        <v>57</v>
      </c>
      <c r="F21" s="23" t="s">
        <v>58</v>
      </c>
      <c r="G21" s="18" t="s">
        <v>59</v>
      </c>
      <c r="H21" s="19" t="s">
        <v>60</v>
      </c>
      <c r="I21" s="19" t="s">
        <v>61</v>
      </c>
      <c r="J21" s="19" t="s">
        <v>62</v>
      </c>
      <c r="K21" s="19" t="s">
        <v>63</v>
      </c>
      <c r="L21" s="9"/>
    </row>
    <row r="22" spans="2:12">
      <c r="B22" s="7"/>
      <c r="C22" s="3">
        <v>41239</v>
      </c>
      <c r="D22" s="17">
        <v>285859</v>
      </c>
      <c r="E22" s="24">
        <v>121</v>
      </c>
      <c r="F22" s="31">
        <f t="shared" ref="F22:F28" si="0">E22/D22</f>
        <v>4.2328560584064173E-4</v>
      </c>
      <c r="G22" s="17">
        <v>21</v>
      </c>
      <c r="H22" s="28">
        <v>1650.08</v>
      </c>
      <c r="I22" s="1">
        <v>215.28</v>
      </c>
      <c r="J22" s="1">
        <f t="shared" ref="J22:J28" si="1">I22/D22*1000</f>
        <v>0.75309855558159788</v>
      </c>
      <c r="K22" s="1">
        <f t="shared" ref="K22:K28" si="2">I22/E22</f>
        <v>1.7791735537190083</v>
      </c>
      <c r="L22" s="9"/>
    </row>
    <row r="23" spans="2:12">
      <c r="B23" s="7"/>
      <c r="C23" s="3">
        <v>41240</v>
      </c>
      <c r="D23" s="17">
        <v>287644</v>
      </c>
      <c r="E23" s="24">
        <v>103</v>
      </c>
      <c r="F23" s="31">
        <f t="shared" si="0"/>
        <v>3.5808151743126922E-4</v>
      </c>
      <c r="G23" s="17">
        <v>20</v>
      </c>
      <c r="H23" s="28">
        <v>804.47</v>
      </c>
      <c r="I23" s="1">
        <v>217.79</v>
      </c>
      <c r="J23" s="1">
        <f t="shared" si="1"/>
        <v>0.75715120078986531</v>
      </c>
      <c r="K23" s="1">
        <f t="shared" si="2"/>
        <v>2.1144660194174758</v>
      </c>
      <c r="L23" s="9"/>
    </row>
    <row r="24" spans="2:12">
      <c r="B24" s="7"/>
      <c r="C24" s="3">
        <v>41241</v>
      </c>
      <c r="D24" s="17">
        <v>50333</v>
      </c>
      <c r="E24" s="24">
        <v>30</v>
      </c>
      <c r="F24" s="31">
        <f t="shared" si="0"/>
        <v>5.9603043728766419E-4</v>
      </c>
      <c r="G24" s="17">
        <v>24</v>
      </c>
      <c r="H24" s="28">
        <v>1133.1400000000001</v>
      </c>
      <c r="I24" s="1">
        <v>37.56</v>
      </c>
      <c r="J24" s="1">
        <f t="shared" si="1"/>
        <v>0.74623010748415552</v>
      </c>
      <c r="K24" s="1">
        <f t="shared" si="2"/>
        <v>1.252</v>
      </c>
      <c r="L24" s="9"/>
    </row>
    <row r="25" spans="2:12">
      <c r="B25" s="7"/>
      <c r="C25" s="3">
        <v>41242</v>
      </c>
      <c r="D25" s="17">
        <v>35391</v>
      </c>
      <c r="E25" s="24">
        <v>16</v>
      </c>
      <c r="F25" s="31">
        <f t="shared" si="0"/>
        <v>4.5209233986041647E-4</v>
      </c>
      <c r="G25" s="17">
        <v>14</v>
      </c>
      <c r="H25" s="28">
        <v>974.58</v>
      </c>
      <c r="I25" s="1">
        <v>30.15</v>
      </c>
      <c r="J25" s="1">
        <f t="shared" si="1"/>
        <v>0.85191150292447226</v>
      </c>
      <c r="K25" s="1">
        <f t="shared" si="2"/>
        <v>1.8843749999999999</v>
      </c>
      <c r="L25" s="9"/>
    </row>
    <row r="26" spans="2:12">
      <c r="B26" s="7"/>
      <c r="C26" s="3">
        <v>41243</v>
      </c>
      <c r="D26" s="17">
        <v>31747</v>
      </c>
      <c r="E26" s="24">
        <v>20</v>
      </c>
      <c r="F26" s="31">
        <f t="shared" si="0"/>
        <v>6.2998078558603962E-4</v>
      </c>
      <c r="G26" s="17">
        <v>13</v>
      </c>
      <c r="H26" s="28">
        <v>799.35</v>
      </c>
      <c r="I26" s="1">
        <v>29.07</v>
      </c>
      <c r="J26" s="1">
        <f t="shared" si="1"/>
        <v>0.91567707184930858</v>
      </c>
      <c r="K26" s="1">
        <f t="shared" si="2"/>
        <v>1.4535</v>
      </c>
      <c r="L26" s="9"/>
    </row>
    <row r="27" spans="2:12">
      <c r="B27" s="7"/>
      <c r="C27" s="3">
        <v>41244</v>
      </c>
      <c r="D27" s="17">
        <v>56878</v>
      </c>
      <c r="E27" s="24">
        <v>34</v>
      </c>
      <c r="F27" s="31">
        <f t="shared" si="0"/>
        <v>5.9777066704173843E-4</v>
      </c>
      <c r="G27" s="17">
        <v>12</v>
      </c>
      <c r="H27" s="28">
        <v>844.49</v>
      </c>
      <c r="I27" s="1">
        <v>49.22</v>
      </c>
      <c r="J27" s="1">
        <f t="shared" si="1"/>
        <v>0.86536094799395191</v>
      </c>
      <c r="K27" s="1">
        <f t="shared" si="2"/>
        <v>1.4476470588235293</v>
      </c>
      <c r="L27" s="9"/>
    </row>
    <row r="28" spans="2:12">
      <c r="B28" s="7"/>
      <c r="C28" s="3">
        <v>41245</v>
      </c>
      <c r="D28" s="17">
        <v>58419</v>
      </c>
      <c r="E28" s="24">
        <v>26</v>
      </c>
      <c r="F28" s="31">
        <f t="shared" si="0"/>
        <v>4.4506068231226143E-4</v>
      </c>
      <c r="G28" s="17">
        <v>23</v>
      </c>
      <c r="H28" s="28">
        <v>1132.25</v>
      </c>
      <c r="I28" s="1">
        <v>49.1</v>
      </c>
      <c r="J28" s="1">
        <f t="shared" si="1"/>
        <v>0.84047998082815523</v>
      </c>
      <c r="K28" s="1">
        <f t="shared" si="2"/>
        <v>1.8884615384615384</v>
      </c>
      <c r="L28" s="9"/>
    </row>
    <row r="29" spans="2:12">
      <c r="B29" s="7"/>
      <c r="C29" s="11" t="s">
        <v>64</v>
      </c>
      <c r="D29" s="4">
        <f>SUM(D22:D28)</f>
        <v>806271</v>
      </c>
      <c r="E29" s="26">
        <f>SUM(E22:E28)</f>
        <v>350</v>
      </c>
      <c r="F29" s="37">
        <f>E29/D29</f>
        <v>4.3409722041348378E-4</v>
      </c>
      <c r="G29" s="4">
        <f>SUM(G22:G28)</f>
        <v>127</v>
      </c>
      <c r="H29" s="5">
        <f>SUM(H22:H28)</f>
        <v>7338.3600000000006</v>
      </c>
      <c r="I29" s="5">
        <f>SUM(I22:I28)</f>
        <v>628.17000000000007</v>
      </c>
      <c r="J29" s="5">
        <f>I29/D29*1000</f>
        <v>0.77910528842039473</v>
      </c>
      <c r="K29" s="5">
        <f>I29/E29</f>
        <v>1.7947714285714287</v>
      </c>
      <c r="L29" s="9"/>
    </row>
    <row r="30" spans="2:12">
      <c r="B30" s="7"/>
      <c r="C30" s="8"/>
      <c r="D30" s="8"/>
      <c r="E30" s="8"/>
      <c r="F30" s="8"/>
      <c r="L30" s="9"/>
    </row>
    <row r="31" spans="2:12">
      <c r="B31" s="7"/>
      <c r="C31" s="16" t="s">
        <v>15</v>
      </c>
      <c r="D31" s="20"/>
      <c r="E31" s="20"/>
      <c r="F31" s="21"/>
      <c r="G31" s="8"/>
      <c r="H31" s="8"/>
      <c r="I31" s="8"/>
      <c r="J31" s="8"/>
      <c r="K31" s="8"/>
      <c r="L31" s="9"/>
    </row>
    <row r="32" spans="2:12"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4" spans="2:6">
      <c r="B34" s="15"/>
      <c r="D34" s="16"/>
      <c r="E34" s="16"/>
      <c r="F34" s="16"/>
    </row>
    <row r="35" spans="2:6">
      <c r="B35" s="16"/>
      <c r="C35" s="16"/>
      <c r="D35" s="16"/>
      <c r="E35" s="16"/>
      <c r="F35" s="16"/>
    </row>
    <row r="36" spans="2:6">
      <c r="B36" s="16"/>
      <c r="C36" s="16"/>
      <c r="D36" s="16"/>
      <c r="E36" s="16"/>
      <c r="F36" s="16"/>
    </row>
    <row r="37" spans="2:6">
      <c r="B37" s="16"/>
      <c r="C37" s="16"/>
      <c r="D37" s="16"/>
      <c r="E37" s="16"/>
      <c r="F37" s="16"/>
    </row>
  </sheetData>
  <mergeCells count="2">
    <mergeCell ref="B2:L2"/>
    <mergeCell ref="C9:K18"/>
  </mergeCells>
  <phoneticPr fontId="25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第一周（10-11～10-14）</vt:lpstr>
      <vt:lpstr>第二周（10-15～10-21）</vt:lpstr>
      <vt:lpstr>第三周（10-22～10-28）</vt:lpstr>
      <vt:lpstr>第四周（10-29～11-04）</vt:lpstr>
      <vt:lpstr>第五周（11-05～11-11）</vt:lpstr>
      <vt:lpstr>第六周（11-12～11-18）</vt:lpstr>
      <vt:lpstr>第七周（11-19～11-25)</vt:lpstr>
      <vt:lpstr>第八周（11-26～12-02)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assure</dc:creator>
  <cp:lastModifiedBy>Jula</cp:lastModifiedBy>
  <dcterms:created xsi:type="dcterms:W3CDTF">2012-04-13T03:17:55Z</dcterms:created>
  <dcterms:modified xsi:type="dcterms:W3CDTF">2012-12-03T07:13:51Z</dcterms:modified>
</cp:coreProperties>
</file>