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3"/>
  </bookViews>
  <sheets>
    <sheet name="第一周（10-11～10-14）" sheetId="20" r:id="rId1"/>
    <sheet name="第二周（10-15～10-21）" sheetId="21" r:id="rId2"/>
    <sheet name="第三周（10-22～10-28）" sheetId="22" r:id="rId3"/>
    <sheet name="第四周（10-29～11-04）" sheetId="23" r:id="rId4"/>
    <sheet name="Sheet2" sheetId="17" r:id="rId5"/>
  </sheets>
  <calcPr calcId="125725"/>
</workbook>
</file>

<file path=xl/calcChain.xml><?xml version="1.0" encoding="utf-8"?>
<calcChain xmlns="http://schemas.openxmlformats.org/spreadsheetml/2006/main">
  <c r="K29" i="23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D30"/>
  <c r="I30"/>
  <c r="H30"/>
  <c r="G30"/>
  <c r="E30"/>
  <c r="K28" i="22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/>
  <c r="H29"/>
  <c r="G29"/>
  <c r="E29"/>
  <c r="D29"/>
  <c r="K31" i="21"/>
  <c r="D31"/>
  <c r="J31" s="1"/>
  <c r="K30"/>
  <c r="D30"/>
  <c r="J30" s="1"/>
  <c r="K29"/>
  <c r="D29"/>
  <c r="J29" s="1"/>
  <c r="K28"/>
  <c r="F28"/>
  <c r="D28"/>
  <c r="J28" s="1"/>
  <c r="K27"/>
  <c r="D27"/>
  <c r="J27" s="1"/>
  <c r="K26"/>
  <c r="J26"/>
  <c r="F26"/>
  <c r="K25"/>
  <c r="J25"/>
  <c r="F25"/>
  <c r="I32"/>
  <c r="H32"/>
  <c r="G32"/>
  <c r="E32"/>
  <c r="D32"/>
  <c r="K31" i="20"/>
  <c r="D31"/>
  <c r="J31" s="1"/>
  <c r="K30"/>
  <c r="D30"/>
  <c r="J30" s="1"/>
  <c r="K28"/>
  <c r="J28"/>
  <c r="F28"/>
  <c r="I32"/>
  <c r="H32"/>
  <c r="G32"/>
  <c r="E32"/>
  <c r="J30" i="23" l="1"/>
  <c r="F30"/>
  <c r="K30"/>
  <c r="J29" i="22"/>
  <c r="F29"/>
  <c r="K29"/>
  <c r="F27" i="21"/>
  <c r="F29"/>
  <c r="F30"/>
  <c r="F31"/>
  <c r="J32"/>
  <c r="F32"/>
  <c r="K32"/>
  <c r="D32" i="20"/>
  <c r="F30"/>
  <c r="F31"/>
  <c r="J32"/>
  <c r="F32"/>
  <c r="K32"/>
</calcChain>
</file>

<file path=xl/sharedStrings.xml><?xml version="1.0" encoding="utf-8"?>
<sst xmlns="http://schemas.openxmlformats.org/spreadsheetml/2006/main" count="75" uniqueCount="22">
  <si>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</si>
  <si>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</si>
  <si>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</si>
  <si>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</si>
  <si>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</si>
  <si>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</si>
  <si>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</si>
  <si>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</si>
  <si>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</si>
  <si>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</si>
  <si>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</si>
  <si>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</si>
  <si>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</si>
  <si>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</si>
  <si>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</si>
  <si>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</si>
  <si>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t>-</t>
    <phoneticPr fontId="3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</si>
  <si>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4" type="noConversion"/>
  </si>
  <si>
    <r>
      <t xml:space="preserve">Lightinthebox </t>
    </r>
    <r>
      <rPr>
        <b/>
        <sz val="12"/>
        <color theme="0"/>
        <rFont val="宋体"/>
        <family val="3"/>
        <charset val="134"/>
      </rPr>
      <t>（</t>
    </r>
    <r>
      <rPr>
        <b/>
        <sz val="12"/>
        <color theme="0"/>
        <rFont val="Arial"/>
        <family val="2"/>
      </rPr>
      <t>France</t>
    </r>
    <r>
      <rPr>
        <b/>
        <sz val="12"/>
        <color theme="0"/>
        <rFont val="宋体"/>
        <family val="3"/>
        <charset val="134"/>
      </rPr>
      <t>）基于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</si>
  <si>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</si>
  <si>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1.持续投放，继续挑选白名单，提高投放预算；
2.持续优化投放模型；
3.继续优化动态出价算法；
4.retargeting投放；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</si>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</sst>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10" fontId="19" fillId="34" borderId="2" xfId="39" applyNumberFormat="1" applyFont="1" applyFill="1" applyBorder="1" applyAlignment="1">
      <alignment horizontal="right"/>
    </xf>
    <xf numFmtId="10" fontId="19" fillId="37" borderId="2" xfId="39" applyNumberFormat="1" applyFont="1" applyFill="1" applyBorder="1" applyAlignment="1">
      <alignment horizontal="right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40"/>
  <sheetViews>
    <sheetView workbookViewId="0">
      <selection activeCell="H5" sqref="H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41193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17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C23" s="35"/>
      <c r="D23" s="35"/>
      <c r="E23" s="35"/>
      <c r="F23" s="35"/>
      <c r="G23" s="35"/>
      <c r="H23" s="35"/>
      <c r="I23" s="35"/>
      <c r="J23" s="35"/>
      <c r="K23" s="35"/>
      <c r="L23" s="9"/>
    </row>
    <row r="24" spans="2:12">
      <c r="B24" s="7"/>
      <c r="C24" s="35"/>
      <c r="D24" s="35"/>
      <c r="E24" s="35"/>
      <c r="F24" s="35"/>
      <c r="G24" s="35"/>
      <c r="H24" s="35"/>
      <c r="I24" s="35"/>
      <c r="J24" s="35"/>
      <c r="K24" s="35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41193</v>
      </c>
      <c r="D28" s="17">
        <v>124405</v>
      </c>
      <c r="E28" s="24">
        <v>53</v>
      </c>
      <c r="F28" s="25">
        <f t="shared" ref="F28:F31" si="0">E28/D28</f>
        <v>4.2602789276958324E-4</v>
      </c>
      <c r="G28" s="17">
        <v>2</v>
      </c>
      <c r="H28" s="28">
        <v>64.459999999999994</v>
      </c>
      <c r="I28" s="1">
        <v>30.6</v>
      </c>
      <c r="J28" s="1">
        <f t="shared" ref="J28:J31" si="1">I28/D28*1000</f>
        <v>0.24597082110847637</v>
      </c>
      <c r="K28" s="1">
        <f t="shared" ref="K28:K31" si="2">I28/E28</f>
        <v>0.57735849056603772</v>
      </c>
      <c r="L28" s="9"/>
    </row>
    <row r="29" spans="2:12">
      <c r="B29" s="7"/>
      <c r="C29" s="3">
        <v>41194</v>
      </c>
      <c r="D29" s="17">
        <v>0</v>
      </c>
      <c r="E29" s="24">
        <v>0</v>
      </c>
      <c r="F29" s="25" t="s">
        <v>16</v>
      </c>
      <c r="G29" s="17">
        <v>0</v>
      </c>
      <c r="H29" s="28">
        <v>0</v>
      </c>
      <c r="I29" s="1">
        <v>0</v>
      </c>
      <c r="J29" s="1" t="s">
        <v>16</v>
      </c>
      <c r="K29" s="1" t="s">
        <v>16</v>
      </c>
      <c r="L29" s="9"/>
    </row>
    <row r="30" spans="2:12">
      <c r="B30" s="7"/>
      <c r="C30" s="3">
        <v>41195</v>
      </c>
      <c r="D30" s="17">
        <f>87135+6833</f>
        <v>93968</v>
      </c>
      <c r="E30" s="24">
        <v>54</v>
      </c>
      <c r="F30" s="25">
        <f t="shared" si="0"/>
        <v>5.7466371530733864E-4</v>
      </c>
      <c r="G30" s="17">
        <v>0</v>
      </c>
      <c r="H30" s="28">
        <v>0</v>
      </c>
      <c r="I30" s="1">
        <v>37.770000000000003</v>
      </c>
      <c r="J30" s="1">
        <f t="shared" si="1"/>
        <v>0.40194534309552188</v>
      </c>
      <c r="K30" s="1">
        <f t="shared" si="2"/>
        <v>0.69944444444444454</v>
      </c>
      <c r="L30" s="9"/>
    </row>
    <row r="31" spans="2:12">
      <c r="B31" s="7"/>
      <c r="C31" s="3">
        <v>41196</v>
      </c>
      <c r="D31" s="17">
        <f>63958+36066</f>
        <v>100024</v>
      </c>
      <c r="E31" s="24">
        <v>81</v>
      </c>
      <c r="F31" s="25">
        <f t="shared" si="0"/>
        <v>8.0980564664480522E-4</v>
      </c>
      <c r="G31" s="17">
        <v>4</v>
      </c>
      <c r="H31" s="28">
        <v>833.85</v>
      </c>
      <c r="I31" s="1">
        <v>54.01</v>
      </c>
      <c r="J31" s="1">
        <f t="shared" si="1"/>
        <v>0.53997040710229538</v>
      </c>
      <c r="K31" s="1">
        <f t="shared" si="2"/>
        <v>0.66679012345679012</v>
      </c>
      <c r="L31" s="9"/>
    </row>
    <row r="32" spans="2:12">
      <c r="B32" s="7"/>
      <c r="C32" s="11" t="s">
        <v>11</v>
      </c>
      <c r="D32" s="4">
        <f>SUM(D28:D31)</f>
        <v>318397</v>
      </c>
      <c r="E32" s="26">
        <f>SUM(E28:E31)</f>
        <v>188</v>
      </c>
      <c r="F32" s="27">
        <f>E32/D32</f>
        <v>5.9045782466543345E-4</v>
      </c>
      <c r="G32" s="4">
        <f>SUM(G28:G31)</f>
        <v>6</v>
      </c>
      <c r="H32" s="5">
        <f>SUM(H28:H31)</f>
        <v>898.31000000000006</v>
      </c>
      <c r="I32" s="5">
        <f>SUM(I28:I31)</f>
        <v>122.38</v>
      </c>
      <c r="J32" s="5">
        <f>I32/D32*1000</f>
        <v>0.38436291799231775</v>
      </c>
      <c r="K32" s="5">
        <f>I32/E32</f>
        <v>0.65095744680851064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4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opLeftCell="A4" workbookViewId="0">
      <selection activeCell="M14" sqref="M1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19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v>58892</v>
      </c>
      <c r="E25" s="24">
        <v>24</v>
      </c>
      <c r="F25" s="25">
        <f t="shared" ref="F25:F31" si="0">E25/D25</f>
        <v>4.0752564015485973E-4</v>
      </c>
      <c r="G25" s="17">
        <v>0</v>
      </c>
      <c r="H25" s="28">
        <v>0</v>
      </c>
      <c r="I25" s="1">
        <v>51.38</v>
      </c>
      <c r="J25" s="1">
        <f t="shared" ref="J25:J31" si="1">I25/D25*1000</f>
        <v>0.87244447463152897</v>
      </c>
      <c r="K25" s="1">
        <f t="shared" ref="K25:K31" si="2">I25/E25</f>
        <v>2.1408333333333336</v>
      </c>
      <c r="L25" s="9"/>
    </row>
    <row r="26" spans="2:12">
      <c r="B26" s="7"/>
      <c r="C26" s="3">
        <v>41198</v>
      </c>
      <c r="D26" s="17">
        <v>193879</v>
      </c>
      <c r="E26" s="24">
        <v>63</v>
      </c>
      <c r="F26" s="25">
        <f t="shared" si="0"/>
        <v>3.2494493988518614E-4</v>
      </c>
      <c r="G26" s="17">
        <v>1</v>
      </c>
      <c r="H26" s="28">
        <v>129.99</v>
      </c>
      <c r="I26" s="1">
        <v>85.07</v>
      </c>
      <c r="J26" s="1">
        <f t="shared" si="1"/>
        <v>0.43877882596877432</v>
      </c>
      <c r="K26" s="1">
        <f t="shared" si="2"/>
        <v>1.3503174603174601</v>
      </c>
      <c r="L26" s="9"/>
    </row>
    <row r="27" spans="2:12">
      <c r="B27" s="7"/>
      <c r="C27" s="3">
        <v>41199</v>
      </c>
      <c r="D27" s="17">
        <f>63381+54787</f>
        <v>118168</v>
      </c>
      <c r="E27" s="24">
        <v>54</v>
      </c>
      <c r="F27" s="25">
        <f t="shared" si="0"/>
        <v>4.5697650802247646E-4</v>
      </c>
      <c r="G27" s="17">
        <v>1</v>
      </c>
      <c r="H27" s="28">
        <v>169.97</v>
      </c>
      <c r="I27" s="1">
        <v>66.62</v>
      </c>
      <c r="J27" s="1">
        <f t="shared" si="1"/>
        <v>0.56377361045291452</v>
      </c>
      <c r="K27" s="1">
        <f t="shared" si="2"/>
        <v>1.2337037037037037</v>
      </c>
      <c r="L27" s="9"/>
    </row>
    <row r="28" spans="2:12">
      <c r="B28" s="7"/>
      <c r="C28" s="3">
        <v>41200</v>
      </c>
      <c r="D28" s="17">
        <f>56708+78394</f>
        <v>135102</v>
      </c>
      <c r="E28" s="24">
        <v>60</v>
      </c>
      <c r="F28" s="25">
        <f t="shared" si="0"/>
        <v>4.4410889550117687E-4</v>
      </c>
      <c r="G28" s="17">
        <v>0</v>
      </c>
      <c r="H28" s="28">
        <v>0</v>
      </c>
      <c r="I28" s="1">
        <v>68.739999999999995</v>
      </c>
      <c r="J28" s="1">
        <f t="shared" si="1"/>
        <v>0.50880075794584823</v>
      </c>
      <c r="K28" s="1">
        <f t="shared" si="2"/>
        <v>1.1456666666666666</v>
      </c>
      <c r="L28" s="9"/>
    </row>
    <row r="29" spans="2:12">
      <c r="B29" s="7"/>
      <c r="C29" s="3">
        <v>41201</v>
      </c>
      <c r="D29" s="17">
        <f>57539+79171</f>
        <v>136710</v>
      </c>
      <c r="E29" s="24">
        <v>71</v>
      </c>
      <c r="F29" s="25">
        <f t="shared" si="0"/>
        <v>5.1934752395581892E-4</v>
      </c>
      <c r="G29" s="17">
        <v>1</v>
      </c>
      <c r="H29" s="28">
        <v>97.99</v>
      </c>
      <c r="I29" s="1">
        <v>68.39</v>
      </c>
      <c r="J29" s="1">
        <f t="shared" si="1"/>
        <v>0.50025601638504857</v>
      </c>
      <c r="K29" s="1">
        <f t="shared" si="2"/>
        <v>0.96323943661971834</v>
      </c>
      <c r="L29" s="9"/>
    </row>
    <row r="30" spans="2:12">
      <c r="B30" s="7"/>
      <c r="C30" s="3">
        <v>41202</v>
      </c>
      <c r="D30" s="17">
        <f>58203+148422</f>
        <v>206625</v>
      </c>
      <c r="E30" s="24">
        <v>106</v>
      </c>
      <c r="F30" s="25">
        <f t="shared" si="0"/>
        <v>5.1300665456745307E-4</v>
      </c>
      <c r="G30" s="17">
        <v>6</v>
      </c>
      <c r="H30" s="28">
        <v>367.61</v>
      </c>
      <c r="I30" s="1">
        <v>85.04</v>
      </c>
      <c r="J30" s="1">
        <f t="shared" si="1"/>
        <v>0.41156684815486994</v>
      </c>
      <c r="K30" s="1">
        <f t="shared" si="2"/>
        <v>0.80226415094339631</v>
      </c>
      <c r="L30" s="9"/>
    </row>
    <row r="31" spans="2:12">
      <c r="B31" s="7"/>
      <c r="C31" s="3">
        <v>41203</v>
      </c>
      <c r="D31" s="17">
        <f>62086+94979</f>
        <v>157065</v>
      </c>
      <c r="E31" s="24">
        <v>97</v>
      </c>
      <c r="F31" s="25">
        <f t="shared" si="0"/>
        <v>6.1757870945150094E-4</v>
      </c>
      <c r="G31" s="17">
        <v>5</v>
      </c>
      <c r="H31" s="28">
        <v>185.38</v>
      </c>
      <c r="I31" s="1">
        <v>72.790000000000006</v>
      </c>
      <c r="J31" s="1">
        <f t="shared" si="1"/>
        <v>0.46343870372138923</v>
      </c>
      <c r="K31" s="1">
        <f t="shared" si="2"/>
        <v>0.75041237113402071</v>
      </c>
      <c r="L31" s="9"/>
    </row>
    <row r="32" spans="2:12">
      <c r="B32" s="7"/>
      <c r="C32" s="11" t="s">
        <v>11</v>
      </c>
      <c r="D32" s="4">
        <f>SUM(D25:D31)</f>
        <v>1006441</v>
      </c>
      <c r="E32" s="26">
        <f>SUM(E25:E31)</f>
        <v>475</v>
      </c>
      <c r="F32" s="27">
        <f>E32/D32</f>
        <v>4.7196010496392736E-4</v>
      </c>
      <c r="G32" s="4">
        <f>SUM(G25:G31)</f>
        <v>14</v>
      </c>
      <c r="H32" s="5">
        <f>SUM(H25:H31)</f>
        <v>950.94</v>
      </c>
      <c r="I32" s="5">
        <f>SUM(I25:I31)</f>
        <v>498.03000000000003</v>
      </c>
      <c r="J32" s="5">
        <f>I32/D32*1000</f>
        <v>0.49484271805302049</v>
      </c>
      <c r="K32" s="5">
        <f>I32/E32</f>
        <v>1.0484842105263159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41204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20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3</v>
      </c>
      <c r="D21" s="19" t="s">
        <v>4</v>
      </c>
      <c r="E21" s="23" t="s">
        <v>12</v>
      </c>
      <c r="F21" s="23" t="s">
        <v>5</v>
      </c>
      <c r="G21" s="18" t="s">
        <v>6</v>
      </c>
      <c r="H21" s="19" t="s">
        <v>7</v>
      </c>
      <c r="I21" s="19" t="s">
        <v>8</v>
      </c>
      <c r="J21" s="19" t="s">
        <v>9</v>
      </c>
      <c r="K21" s="19" t="s">
        <v>10</v>
      </c>
      <c r="L21" s="9"/>
    </row>
    <row r="22" spans="2:12">
      <c r="B22" s="7"/>
      <c r="C22" s="3">
        <v>41204</v>
      </c>
      <c r="D22" s="17">
        <v>92212</v>
      </c>
      <c r="E22" s="24">
        <v>44</v>
      </c>
      <c r="F22" s="25">
        <f t="shared" ref="F22:F28" si="0">E22/D22</f>
        <v>4.7716132390578233E-4</v>
      </c>
      <c r="G22" s="17">
        <v>3</v>
      </c>
      <c r="H22" s="28">
        <v>169.28</v>
      </c>
      <c r="I22" s="1">
        <v>23.56392</v>
      </c>
      <c r="J22" s="1">
        <f t="shared" ref="J22:J28" si="1">I22/D22*1000</f>
        <v>0.25554071053658961</v>
      </c>
      <c r="K22" s="1">
        <f t="shared" ref="K22:K28" si="2">I22/E22</f>
        <v>0.53554363636363633</v>
      </c>
      <c r="L22" s="9"/>
    </row>
    <row r="23" spans="2:12">
      <c r="B23" s="7"/>
      <c r="C23" s="3">
        <v>41205</v>
      </c>
      <c r="D23" s="17">
        <v>224536</v>
      </c>
      <c r="E23" s="24">
        <v>142</v>
      </c>
      <c r="F23" s="25">
        <f t="shared" si="0"/>
        <v>6.324152919799052E-4</v>
      </c>
      <c r="G23" s="17">
        <v>5</v>
      </c>
      <c r="H23" s="28">
        <v>440.78</v>
      </c>
      <c r="I23" s="1">
        <v>109.78637000000001</v>
      </c>
      <c r="J23" s="1">
        <f t="shared" si="1"/>
        <v>0.48894774111946421</v>
      </c>
      <c r="K23" s="1">
        <f t="shared" si="2"/>
        <v>0.77314345070422541</v>
      </c>
      <c r="L23" s="9"/>
    </row>
    <row r="24" spans="2:12">
      <c r="B24" s="7"/>
      <c r="C24" s="3">
        <v>41206</v>
      </c>
      <c r="D24" s="17">
        <v>207589</v>
      </c>
      <c r="E24" s="24">
        <v>91</v>
      </c>
      <c r="F24" s="25">
        <f t="shared" si="0"/>
        <v>4.3836619474056909E-4</v>
      </c>
      <c r="G24" s="17">
        <v>6</v>
      </c>
      <c r="H24" s="28">
        <v>232.61</v>
      </c>
      <c r="I24" s="1">
        <v>90.842399999999998</v>
      </c>
      <c r="J24" s="1">
        <f t="shared" si="1"/>
        <v>0.43760700229780958</v>
      </c>
      <c r="K24" s="1">
        <f t="shared" si="2"/>
        <v>0.99826813186813179</v>
      </c>
      <c r="L24" s="9"/>
    </row>
    <row r="25" spans="2:12">
      <c r="B25" s="7"/>
      <c r="C25" s="3">
        <v>41207</v>
      </c>
      <c r="D25" s="17">
        <v>207334</v>
      </c>
      <c r="E25" s="24">
        <v>109</v>
      </c>
      <c r="F25" s="25">
        <f t="shared" si="0"/>
        <v>5.2572178224507312E-4</v>
      </c>
      <c r="G25" s="17">
        <v>2</v>
      </c>
      <c r="H25" s="28">
        <v>124.98</v>
      </c>
      <c r="I25" s="1">
        <v>110.83947000000001</v>
      </c>
      <c r="J25" s="1">
        <f t="shared" si="1"/>
        <v>0.53459379551834241</v>
      </c>
      <c r="K25" s="1">
        <f t="shared" si="2"/>
        <v>1.0168758715596331</v>
      </c>
      <c r="L25" s="9"/>
    </row>
    <row r="26" spans="2:12">
      <c r="B26" s="7"/>
      <c r="C26" s="3">
        <v>41208</v>
      </c>
      <c r="D26" s="17">
        <v>205760</v>
      </c>
      <c r="E26" s="24">
        <v>152</v>
      </c>
      <c r="F26" s="25">
        <f t="shared" si="0"/>
        <v>7.3872472783825815E-4</v>
      </c>
      <c r="G26" s="17">
        <v>4</v>
      </c>
      <c r="H26" s="28">
        <v>81.540000000000006</v>
      </c>
      <c r="I26" s="1">
        <v>106.90047</v>
      </c>
      <c r="J26" s="1">
        <f t="shared" si="1"/>
        <v>0.51953960925349918</v>
      </c>
      <c r="K26" s="1">
        <f t="shared" si="2"/>
        <v>0.70329256578947363</v>
      </c>
      <c r="L26" s="9"/>
    </row>
    <row r="27" spans="2:12">
      <c r="B27" s="7"/>
      <c r="C27" s="3">
        <v>41209</v>
      </c>
      <c r="D27" s="17">
        <v>200627</v>
      </c>
      <c r="E27" s="24">
        <v>146</v>
      </c>
      <c r="F27" s="25">
        <f t="shared" si="0"/>
        <v>7.2771860218215898E-4</v>
      </c>
      <c r="G27" s="17">
        <v>3</v>
      </c>
      <c r="H27" s="28">
        <v>20.97</v>
      </c>
      <c r="I27" s="1">
        <v>104.83596</v>
      </c>
      <c r="J27" s="1">
        <f t="shared" si="1"/>
        <v>0.52254163198373105</v>
      </c>
      <c r="K27" s="1">
        <f t="shared" si="2"/>
        <v>0.71805452054794516</v>
      </c>
      <c r="L27" s="9"/>
    </row>
    <row r="28" spans="2:12">
      <c r="B28" s="7"/>
      <c r="C28" s="3">
        <v>41210</v>
      </c>
      <c r="D28" s="17">
        <v>208461</v>
      </c>
      <c r="E28" s="24">
        <v>165</v>
      </c>
      <c r="F28" s="25">
        <f t="shared" si="0"/>
        <v>7.915149596327371E-4</v>
      </c>
      <c r="G28" s="17">
        <v>7</v>
      </c>
      <c r="H28" s="28">
        <v>451.71</v>
      </c>
      <c r="I28" s="1">
        <v>101.38584</v>
      </c>
      <c r="J28" s="1">
        <f t="shared" si="1"/>
        <v>0.48635399427230996</v>
      </c>
      <c r="K28" s="1">
        <f t="shared" si="2"/>
        <v>0.61445963636363632</v>
      </c>
      <c r="L28" s="9"/>
    </row>
    <row r="29" spans="2:12">
      <c r="B29" s="7"/>
      <c r="C29" s="11" t="s">
        <v>11</v>
      </c>
      <c r="D29" s="4">
        <f>SUM(D22:D28)</f>
        <v>1346519</v>
      </c>
      <c r="E29" s="26">
        <f>SUM(E22:E28)</f>
        <v>849</v>
      </c>
      <c r="F29" s="27">
        <f>E29/D29</f>
        <v>6.3051468267436256E-4</v>
      </c>
      <c r="G29" s="4">
        <f>SUM(G22:G28)</f>
        <v>30</v>
      </c>
      <c r="H29" s="5">
        <f>SUM(H22:H28)</f>
        <v>1521.8700000000001</v>
      </c>
      <c r="I29" s="5">
        <f>SUM(I22:I28)</f>
        <v>648.15442999999993</v>
      </c>
      <c r="J29" s="5">
        <f>I29/D29*1000</f>
        <v>0.48135557686152214</v>
      </c>
      <c r="K29" s="5">
        <f>I29/E29</f>
        <v>0.76343277974087154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8"/>
  <sheetViews>
    <sheetView tabSelected="1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18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21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3</v>
      </c>
      <c r="D22" s="19" t="s">
        <v>4</v>
      </c>
      <c r="E22" s="23" t="s">
        <v>12</v>
      </c>
      <c r="F22" s="23" t="s">
        <v>5</v>
      </c>
      <c r="G22" s="18" t="s">
        <v>6</v>
      </c>
      <c r="H22" s="19" t="s">
        <v>7</v>
      </c>
      <c r="I22" s="19" t="s">
        <v>8</v>
      </c>
      <c r="J22" s="19" t="s">
        <v>9</v>
      </c>
      <c r="K22" s="19" t="s">
        <v>10</v>
      </c>
      <c r="L22" s="9"/>
    </row>
    <row r="23" spans="2:12">
      <c r="B23" s="7"/>
      <c r="C23" s="3">
        <v>41211</v>
      </c>
      <c r="D23" s="17">
        <v>228234</v>
      </c>
      <c r="E23" s="24">
        <v>158</v>
      </c>
      <c r="F23" s="29">
        <f t="shared" ref="F23:F29" si="0">E23/D23</f>
        <v>6.9227196649053165E-4</v>
      </c>
      <c r="G23" s="17">
        <v>3</v>
      </c>
      <c r="H23" s="28">
        <v>135.93</v>
      </c>
      <c r="I23" s="1">
        <v>111.96973</v>
      </c>
      <c r="J23" s="1">
        <f t="shared" ref="J23:J29" si="1">I23/D23*1000</f>
        <v>0.49059180490198651</v>
      </c>
      <c r="K23" s="1">
        <f t="shared" ref="K23:K29" si="2">I23/E23</f>
        <v>0.70866917721518985</v>
      </c>
      <c r="L23" s="9"/>
    </row>
    <row r="24" spans="2:12">
      <c r="B24" s="7"/>
      <c r="C24" s="3">
        <v>41212</v>
      </c>
      <c r="D24" s="17">
        <v>203738</v>
      </c>
      <c r="E24" s="24">
        <v>145</v>
      </c>
      <c r="F24" s="29">
        <f t="shared" si="0"/>
        <v>7.1169835769468635E-4</v>
      </c>
      <c r="G24" s="17">
        <v>6</v>
      </c>
      <c r="H24" s="28">
        <v>342.32</v>
      </c>
      <c r="I24" s="1">
        <v>105.05936</v>
      </c>
      <c r="J24" s="1">
        <f t="shared" si="1"/>
        <v>0.51565913084451598</v>
      </c>
      <c r="K24" s="1">
        <f t="shared" si="2"/>
        <v>0.72454731034482756</v>
      </c>
      <c r="L24" s="9"/>
    </row>
    <row r="25" spans="2:12">
      <c r="B25" s="7"/>
      <c r="C25" s="3">
        <v>41213</v>
      </c>
      <c r="D25" s="17">
        <v>256774</v>
      </c>
      <c r="E25" s="24">
        <v>182</v>
      </c>
      <c r="F25" s="29">
        <f t="shared" si="0"/>
        <v>7.0879450411646039E-4</v>
      </c>
      <c r="G25" s="17">
        <v>9</v>
      </c>
      <c r="H25" s="28">
        <v>418.04</v>
      </c>
      <c r="I25" s="1">
        <v>149.85900000000001</v>
      </c>
      <c r="J25" s="1">
        <f t="shared" si="1"/>
        <v>0.58362217358455304</v>
      </c>
      <c r="K25" s="1">
        <f t="shared" si="2"/>
        <v>0.82340109890109892</v>
      </c>
      <c r="L25" s="9"/>
    </row>
    <row r="26" spans="2:12">
      <c r="B26" s="7"/>
      <c r="C26" s="3">
        <v>41214</v>
      </c>
      <c r="D26" s="17">
        <v>262319</v>
      </c>
      <c r="E26" s="24">
        <v>178</v>
      </c>
      <c r="F26" s="29">
        <f t="shared" si="0"/>
        <v>6.7856312352517357E-4</v>
      </c>
      <c r="G26" s="17">
        <v>11</v>
      </c>
      <c r="H26" s="28">
        <v>855.84</v>
      </c>
      <c r="I26" s="1">
        <v>151.22900999999999</v>
      </c>
      <c r="J26" s="1">
        <f t="shared" si="1"/>
        <v>0.57650803029898701</v>
      </c>
      <c r="K26" s="1">
        <f t="shared" si="2"/>
        <v>0.84960117977528082</v>
      </c>
      <c r="L26" s="9"/>
    </row>
    <row r="27" spans="2:12">
      <c r="B27" s="7"/>
      <c r="C27" s="3">
        <v>41215</v>
      </c>
      <c r="D27" s="17">
        <v>136196</v>
      </c>
      <c r="E27" s="24">
        <v>101</v>
      </c>
      <c r="F27" s="29">
        <f t="shared" si="0"/>
        <v>7.4157831360686065E-4</v>
      </c>
      <c r="G27" s="17">
        <v>7</v>
      </c>
      <c r="H27" s="28">
        <v>205.95</v>
      </c>
      <c r="I27" s="1">
        <v>66.671559999999999</v>
      </c>
      <c r="J27" s="1">
        <f t="shared" si="1"/>
        <v>0.48952656465681815</v>
      </c>
      <c r="K27" s="1">
        <f t="shared" si="2"/>
        <v>0.66011445544554459</v>
      </c>
      <c r="L27" s="9"/>
    </row>
    <row r="28" spans="2:12">
      <c r="B28" s="7"/>
      <c r="C28" s="3">
        <v>41216</v>
      </c>
      <c r="D28" s="17">
        <v>254622</v>
      </c>
      <c r="E28" s="24">
        <v>194</v>
      </c>
      <c r="F28" s="29">
        <f t="shared" si="0"/>
        <v>7.6191373879711888E-4</v>
      </c>
      <c r="G28" s="17">
        <v>9</v>
      </c>
      <c r="H28" s="28">
        <v>401.39</v>
      </c>
      <c r="I28" s="1">
        <v>149.62236999999999</v>
      </c>
      <c r="J28" s="1">
        <f t="shared" si="1"/>
        <v>0.58762546048652509</v>
      </c>
      <c r="K28" s="1">
        <f t="shared" si="2"/>
        <v>0.7712493298969072</v>
      </c>
      <c r="L28" s="9"/>
    </row>
    <row r="29" spans="2:12">
      <c r="B29" s="7"/>
      <c r="C29" s="3">
        <v>41217</v>
      </c>
      <c r="D29" s="17">
        <v>259902</v>
      </c>
      <c r="E29" s="24">
        <v>202</v>
      </c>
      <c r="F29" s="29">
        <f t="shared" si="0"/>
        <v>7.7721602757962614E-4</v>
      </c>
      <c r="G29" s="17">
        <v>15</v>
      </c>
      <c r="H29" s="28">
        <v>1100.52</v>
      </c>
      <c r="I29" s="1">
        <v>148.53523999999999</v>
      </c>
      <c r="J29" s="1">
        <f t="shared" si="1"/>
        <v>0.5715047979623088</v>
      </c>
      <c r="K29" s="1">
        <f t="shared" si="2"/>
        <v>0.73532297029702964</v>
      </c>
      <c r="L29" s="9"/>
    </row>
    <row r="30" spans="2:12">
      <c r="B30" s="7"/>
      <c r="C30" s="11" t="s">
        <v>11</v>
      </c>
      <c r="D30" s="4">
        <f>SUM(D23:D29)</f>
        <v>1601785</v>
      </c>
      <c r="E30" s="26">
        <f>SUM(E23:E29)</f>
        <v>1160</v>
      </c>
      <c r="F30" s="30">
        <f>E30/D30</f>
        <v>7.2419207321831576E-4</v>
      </c>
      <c r="G30" s="4">
        <f>SUM(G23:G29)</f>
        <v>60</v>
      </c>
      <c r="H30" s="5">
        <f>SUM(H23:H29)</f>
        <v>3459.9900000000002</v>
      </c>
      <c r="I30" s="5">
        <f>SUM(I23:I29)</f>
        <v>882.94626999999991</v>
      </c>
      <c r="J30" s="5">
        <f>I30/D30*1000</f>
        <v>0.55122645673420578</v>
      </c>
      <c r="K30" s="5">
        <f>I30/E30</f>
        <v>0.76116057758620681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第一周（10-11～10-14）</vt:lpstr>
      <vt:lpstr>第二周（10-15～10-21）</vt:lpstr>
      <vt:lpstr>第三周（10-22～10-28）</vt:lpstr>
      <vt:lpstr>第四周（10-29～11-04）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2012-11-06T10:37:03Z</dcterms:modified>
</cp:coreProperties>
</file>