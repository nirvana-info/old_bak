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/>
  </bookViews>
  <sheets>
    <sheet name="总结" sheetId="12" r:id="rId1"/>
    <sheet name="Sheet1" sheetId="14" r:id="rId2"/>
  </sheets>
  <calcPr calcId="125725"/>
</workbook>
</file>

<file path=xl/calcChain.xml><?xml version="1.0" encoding="utf-8"?>
<calcChain xmlns="http://schemas.openxmlformats.org/spreadsheetml/2006/main">
  <c r="N12" i="12"/>
  <c r="K29"/>
  <c r="K28"/>
  <c r="K27"/>
  <c r="K26"/>
  <c r="K25"/>
  <c r="K24"/>
  <c r="K23"/>
  <c r="K22"/>
  <c r="F23"/>
  <c r="F24"/>
  <c r="F25"/>
  <c r="F26"/>
  <c r="F27"/>
  <c r="F28"/>
  <c r="F29"/>
  <c r="F22"/>
  <c r="F18"/>
  <c r="D18"/>
  <c r="H12"/>
  <c r="J12"/>
  <c r="K12"/>
  <c r="I12"/>
  <c r="G12"/>
  <c r="D12"/>
  <c r="E12"/>
  <c r="M11"/>
  <c r="L11"/>
  <c r="F11"/>
  <c r="M10" l="1"/>
  <c r="L10"/>
  <c r="F10"/>
  <c r="L12" l="1"/>
  <c r="F12"/>
  <c r="M12"/>
</calcChain>
</file>

<file path=xl/sharedStrings.xml><?xml version="1.0" encoding="utf-8"?>
<sst xmlns="http://schemas.openxmlformats.org/spreadsheetml/2006/main" count="65" uniqueCount="45">
  <si>
    <t>CPC</t>
    <phoneticPr fontId="1" type="noConversion"/>
  </si>
  <si>
    <r>
      <rPr>
        <b/>
        <sz val="10"/>
        <color theme="1"/>
        <rFont val="宋体"/>
        <family val="3"/>
        <charset val="134"/>
      </rPr>
      <t>执行时间</t>
    </r>
    <phoneticPr fontId="1" type="noConversion"/>
  </si>
  <si>
    <r>
      <rPr>
        <b/>
        <sz val="10"/>
        <color theme="0"/>
        <rFont val="宋体"/>
        <family val="3"/>
        <charset val="134"/>
      </rPr>
      <t>开始日期</t>
    </r>
    <phoneticPr fontId="1" type="noConversion"/>
  </si>
  <si>
    <r>
      <rPr>
        <b/>
        <sz val="10"/>
        <color theme="0"/>
        <rFont val="宋体"/>
        <family val="3"/>
        <charset val="134"/>
      </rPr>
      <t>结束日期</t>
    </r>
    <phoneticPr fontId="1" type="noConversion"/>
  </si>
  <si>
    <r>
      <rPr>
        <b/>
        <sz val="10"/>
        <color theme="0"/>
        <rFont val="宋体"/>
        <family val="3"/>
        <charset val="134"/>
      </rPr>
      <t>曝光数</t>
    </r>
    <phoneticPr fontId="1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</si>
  <si>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</si>
  <si>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</si>
  <si>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t>点击率</t>
    <phoneticPr fontId="1" type="noConversion"/>
  </si>
  <si>
    <t>点击数</t>
    <phoneticPr fontId="1" type="noConversion"/>
  </si>
  <si>
    <t>CPM</t>
    <phoneticPr fontId="1" type="noConversion"/>
  </si>
  <si>
    <t>执行总结</t>
    <phoneticPr fontId="1" type="noConversion"/>
  </si>
  <si>
    <r>
      <t xml:space="preserve">Lightinthebox </t>
    </r>
    <r>
      <rPr>
        <b/>
        <sz val="12"/>
        <color theme="0"/>
        <rFont val="宋体"/>
        <family val="3"/>
        <charset val="134"/>
      </rPr>
      <t>（</t>
    </r>
    <r>
      <rPr>
        <b/>
        <sz val="12"/>
        <color theme="0"/>
        <rFont val="Arial"/>
        <family val="2"/>
      </rPr>
      <t>France</t>
    </r>
    <r>
      <rPr>
        <b/>
        <sz val="12"/>
        <color theme="0"/>
        <rFont val="宋体"/>
        <family val="3"/>
        <charset val="134"/>
      </rPr>
      <t>）基于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的网络广告投放第一阶段执行总结</t>
    </r>
    <phoneticPr fontId="24" type="noConversion"/>
  </si>
  <si>
    <t>活动名称</t>
    <phoneticPr fontId="1" type="noConversion"/>
  </si>
  <si>
    <t>曝光转化数</t>
    <phoneticPr fontId="32" type="noConversion"/>
  </si>
  <si>
    <t>点击转化数</t>
    <phoneticPr fontId="1" type="noConversion"/>
  </si>
  <si>
    <t>曝光转化金额</t>
    <phoneticPr fontId="32" type="noConversion"/>
  </si>
  <si>
    <t>点击转化金额</t>
    <phoneticPr fontId="1" type="noConversion"/>
  </si>
  <si>
    <t>活动执行概览</t>
    <phoneticPr fontId="1" type="noConversion"/>
  </si>
  <si>
    <t>受众分析</t>
    <phoneticPr fontId="1" type="noConversion"/>
  </si>
  <si>
    <t>点击用户</t>
    <phoneticPr fontId="32" type="noConversion"/>
  </si>
  <si>
    <t>独立访问用户</t>
    <phoneticPr fontId="1" type="noConversion"/>
  </si>
  <si>
    <t>投放区域</t>
    <phoneticPr fontId="1" type="noConversion"/>
  </si>
  <si>
    <t>投放语言</t>
    <phoneticPr fontId="1" type="noConversion"/>
  </si>
  <si>
    <t>法国</t>
    <phoneticPr fontId="32" type="noConversion"/>
  </si>
  <si>
    <t>法语</t>
    <phoneticPr fontId="32" type="noConversion"/>
  </si>
  <si>
    <t>基本定向</t>
    <phoneticPr fontId="1" type="noConversion"/>
  </si>
  <si>
    <t>投放时段</t>
    <phoneticPr fontId="1" type="noConversion"/>
  </si>
  <si>
    <t>预设时段</t>
    <phoneticPr fontId="32" type="noConversion"/>
  </si>
  <si>
    <t>投放频次</t>
    <phoneticPr fontId="32" type="noConversion"/>
  </si>
  <si>
    <t>新用户投放</t>
    <phoneticPr fontId="1" type="noConversion"/>
  </si>
  <si>
    <t>再营销投放</t>
    <phoneticPr fontId="1" type="noConversion"/>
  </si>
  <si>
    <t>独立访问用户</t>
    <phoneticPr fontId="32" type="noConversion"/>
  </si>
  <si>
    <t>*投放频次分析 - 新用户投放</t>
    <phoneticPr fontId="32" type="noConversion"/>
  </si>
  <si>
    <t>*投放频次分析 - 再营销投放</t>
    <phoneticPr fontId="32" type="noConversion"/>
  </si>
  <si>
    <t>至少展示一次</t>
    <phoneticPr fontId="32" type="noConversion"/>
  </si>
  <si>
    <t>至少展示二次</t>
    <phoneticPr fontId="32" type="noConversion"/>
  </si>
  <si>
    <t>至少展示三次</t>
    <phoneticPr fontId="32" type="noConversion"/>
  </si>
  <si>
    <t>至少展示四次</t>
    <phoneticPr fontId="32" type="noConversion"/>
  </si>
  <si>
    <t>至少展示五次</t>
    <phoneticPr fontId="32" type="noConversion"/>
  </si>
  <si>
    <t>至少展示六次</t>
    <phoneticPr fontId="32" type="noConversion"/>
  </si>
  <si>
    <t>至少展示七次</t>
    <phoneticPr fontId="32" type="noConversion"/>
  </si>
  <si>
    <t>至少展示八次或更多</t>
    <phoneticPr fontId="32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</si>
  <si>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1. </t>
    </r>
    <r>
      <rPr>
        <sz val="11"/>
        <color theme="1"/>
        <rFont val="宋体"/>
        <family val="3"/>
        <charset val="134"/>
      </rPr>
      <t>所有日期按美国太平洋时区计；</t>
    </r>
    <r>
      <rPr>
        <sz val="11"/>
        <color theme="1"/>
        <rFont val="Arial"/>
        <family val="2"/>
      </rPr>
      <t xml:space="preserve"> 2. </t>
    </r>
    <r>
      <rPr>
        <sz val="11"/>
        <color theme="1"/>
        <rFont val="宋体"/>
        <family val="3"/>
        <charset val="134"/>
      </rPr>
      <t>其中带</t>
    </r>
    <r>
      <rPr>
        <sz val="11"/>
        <color theme="1"/>
        <rFont val="Arial"/>
        <family val="2"/>
      </rPr>
      <t>*</t>
    </r>
    <r>
      <rPr>
        <sz val="11"/>
        <color theme="1"/>
        <rFont val="宋体"/>
        <family val="3"/>
        <charset val="134"/>
      </rPr>
      <t>的频次分析处，独立访问用户数是包含关系，即展示过二次的用户一定展示过一次；</t>
    </r>
    <phoneticPr fontId="24" type="noConversion"/>
  </si>
  <si>
    <t>View- through Conv. On Google Adx</t>
    <phoneticPr fontId="1" type="noConversion"/>
  </si>
  <si>
    <r>
      <rPr>
        <b/>
        <sz val="10"/>
        <color theme="1"/>
        <rFont val="宋体"/>
        <family val="2"/>
      </rPr>
      <t>过程追溯：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宋体"/>
        <family val="2"/>
      </rPr>
      <t xml:space="preserve">整个投放过程分三个阶段：
</t>
    </r>
    <r>
      <rPr>
        <sz val="10"/>
        <color theme="1"/>
        <rFont val="Arial"/>
        <family val="2"/>
      </rPr>
      <t>1.</t>
    </r>
    <r>
      <rPr>
        <sz val="10"/>
        <color theme="1"/>
        <rFont val="宋体"/>
        <family val="2"/>
      </rPr>
      <t xml:space="preserve">准备期：设计创意，部署跟踪代码，设计活动细节；
</t>
    </r>
    <r>
      <rPr>
        <sz val="10"/>
        <color theme="1"/>
        <rFont val="Arial"/>
        <family val="2"/>
      </rPr>
      <t>2.</t>
    </r>
    <r>
      <rPr>
        <sz val="10"/>
        <color theme="1"/>
        <rFont val="宋体"/>
        <family val="2"/>
      </rPr>
      <t xml:space="preserve">测试期：制定测试样本并进行测试投放，根据结果调整执行策略，修正投放参数，优化创意。这个阶段持续了二到三周的时间；
</t>
    </r>
    <r>
      <rPr>
        <sz val="10"/>
        <color theme="1"/>
        <rFont val="Arial"/>
        <family val="2"/>
      </rPr>
      <t>3.</t>
    </r>
    <r>
      <rPr>
        <sz val="10"/>
        <color theme="1"/>
        <rFont val="宋体"/>
        <family val="2"/>
      </rPr>
      <t xml:space="preserve">规模期：规模投放，追踪执行结果，实时分析优化。这个阶段持续了五周时间；
</t>
    </r>
    <r>
      <rPr>
        <b/>
        <sz val="10"/>
        <color theme="1"/>
        <rFont val="宋体"/>
        <family val="3"/>
        <charset val="134"/>
      </rPr>
      <t>投放方法：</t>
    </r>
    <r>
      <rPr>
        <sz val="10"/>
        <color theme="1"/>
        <rFont val="宋体"/>
        <family val="2"/>
      </rPr>
      <t xml:space="preserve">
</t>
    </r>
    <r>
      <rPr>
        <sz val="10"/>
        <color theme="1"/>
        <rFont val="Arial"/>
        <family val="2"/>
      </rPr>
      <t>1.</t>
    </r>
    <r>
      <rPr>
        <sz val="10"/>
        <color theme="1"/>
        <rFont val="宋体"/>
        <family val="2"/>
      </rPr>
      <t xml:space="preserve">基本定向：地理定向、语言定向、投放时段设定；
</t>
    </r>
    <r>
      <rPr>
        <sz val="10"/>
        <color theme="1"/>
        <rFont val="Arial"/>
        <family val="2"/>
      </rPr>
      <t>2.</t>
    </r>
    <r>
      <rPr>
        <sz val="10"/>
        <color theme="1"/>
        <rFont val="宋体"/>
        <family val="2"/>
      </rPr>
      <t xml:space="preserve">人群定向：制定测试样本并进行测试投放，捕捉受众数据进行分析并建模，完成后对符合模型人群进行规模投放；
</t>
    </r>
    <r>
      <rPr>
        <sz val="10"/>
        <color theme="1"/>
        <rFont val="Arial"/>
        <family val="2"/>
      </rPr>
      <t>3.</t>
    </r>
    <r>
      <rPr>
        <sz val="10"/>
        <color theme="1"/>
        <rFont val="宋体"/>
        <family val="2"/>
      </rPr>
      <t xml:space="preserve">重定向：对网站用户进行重定向投放；
</t>
    </r>
    <r>
      <rPr>
        <sz val="10"/>
        <color theme="1"/>
        <rFont val="Arial"/>
        <family val="2"/>
      </rPr>
      <t>4.</t>
    </r>
    <r>
      <rPr>
        <sz val="10"/>
        <color theme="1"/>
        <rFont val="宋体"/>
        <family val="2"/>
      </rPr>
      <t xml:space="preserve">投放优化：智能出价算法、投放屏次控制、作弊网站屏蔽、预算分配控制、品牌保护；
</t>
    </r>
    <r>
      <rPr>
        <sz val="10"/>
        <color theme="1"/>
        <rFont val="Arial"/>
        <family val="2"/>
      </rPr>
      <t>5.</t>
    </r>
    <r>
      <rPr>
        <sz val="10"/>
        <color theme="1"/>
        <rFont val="宋体"/>
        <family val="2"/>
      </rPr>
      <t xml:space="preserve">白名单的挑选和投放；
</t>
    </r>
    <r>
      <rPr>
        <b/>
        <sz val="10"/>
        <color theme="1"/>
        <rFont val="宋体"/>
        <family val="3"/>
        <charset val="134"/>
      </rPr>
      <t xml:space="preserve">执行总结：
</t>
    </r>
    <r>
      <rPr>
        <sz val="10"/>
        <color theme="1"/>
        <rFont val="宋体"/>
        <family val="3"/>
        <charset val="134"/>
      </rPr>
      <t>在双方的紧密沟通和积极配合下，第一阶段的投放执行任务目前已经顺利完成。
成绩：</t>
    </r>
    <r>
      <rPr>
        <b/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Arial"/>
        <family val="2"/>
      </rPr>
      <t>1.</t>
    </r>
    <r>
      <rPr>
        <sz val="10"/>
        <color theme="1"/>
        <rFont val="宋体"/>
        <family val="3"/>
        <charset val="134"/>
      </rPr>
      <t>完成了总计</t>
    </r>
    <r>
      <rPr>
        <sz val="10"/>
        <color theme="1"/>
        <rFont val="Arial"/>
        <family val="2"/>
      </rPr>
      <t>11,399,230</t>
    </r>
    <r>
      <rPr>
        <sz val="10"/>
        <color theme="1"/>
        <rFont val="宋体"/>
        <family val="3"/>
        <charset val="134"/>
      </rPr>
      <t>次的曝光，带来了</t>
    </r>
    <r>
      <rPr>
        <sz val="10"/>
        <color theme="1"/>
        <rFont val="Arial"/>
        <family val="2"/>
      </rPr>
      <t>7,606</t>
    </r>
    <r>
      <rPr>
        <sz val="10"/>
        <color theme="1"/>
        <rFont val="宋体"/>
        <family val="3"/>
        <charset val="134"/>
      </rPr>
      <t>次点击，包含曝光转化和点击转化，共计促进了</t>
    </r>
    <r>
      <rPr>
        <sz val="10"/>
        <color theme="1"/>
        <rFont val="Arial"/>
        <family val="2"/>
      </rPr>
      <t>$180,340.23</t>
    </r>
    <r>
      <rPr>
        <sz val="10"/>
        <color theme="1"/>
        <rFont val="宋体"/>
        <family val="3"/>
        <charset val="134"/>
      </rPr>
      <t xml:space="preserve">的销售；
</t>
    </r>
    <r>
      <rPr>
        <sz val="10"/>
        <color theme="1"/>
        <rFont val="Arial"/>
        <family val="2"/>
      </rPr>
      <t>2.</t>
    </r>
    <r>
      <rPr>
        <sz val="10"/>
        <color theme="1"/>
        <rFont val="宋体"/>
        <family val="3"/>
        <charset val="134"/>
      </rPr>
      <t>覆盖了共计</t>
    </r>
    <r>
      <rPr>
        <sz val="10"/>
        <color theme="1"/>
        <rFont val="Arial"/>
        <family val="2"/>
      </rPr>
      <t>5,658,358</t>
    </r>
    <r>
      <rPr>
        <sz val="10"/>
        <color theme="1"/>
        <rFont val="宋体"/>
        <family val="3"/>
        <charset val="134"/>
      </rPr>
      <t>个独立访问用户，尤其新用户投放，覆盖了共计</t>
    </r>
    <r>
      <rPr>
        <sz val="10"/>
        <color theme="1"/>
        <rFont val="Arial"/>
        <family val="2"/>
      </rPr>
      <t>4,649,913</t>
    </r>
    <r>
      <rPr>
        <sz val="10"/>
        <color theme="1"/>
        <rFont val="宋体"/>
        <family val="3"/>
        <charset val="134"/>
      </rPr>
      <t xml:space="preserve">的独立访问用户；
</t>
    </r>
    <r>
      <rPr>
        <sz val="10"/>
        <color theme="1"/>
        <rFont val="Arial"/>
        <family val="2"/>
      </rPr>
      <t>3.</t>
    </r>
    <r>
      <rPr>
        <sz val="10"/>
        <color theme="1"/>
        <rFont val="宋体"/>
        <family val="3"/>
        <charset val="134"/>
      </rPr>
      <t xml:space="preserve">收集了明细到包含用户语言、页面类型、分类等级、产品分类、具体访问产品信息的用户访问数据；
</t>
    </r>
    <r>
      <rPr>
        <sz val="10"/>
        <color theme="1"/>
        <rFont val="Arial"/>
        <family val="2"/>
      </rPr>
      <t>4.</t>
    </r>
    <r>
      <rPr>
        <sz val="10"/>
        <color theme="1"/>
        <rFont val="宋体"/>
        <family val="3"/>
        <charset val="134"/>
      </rPr>
      <t>积累了该项目相关的大量经验；
不足</t>
    </r>
    <r>
      <rPr>
        <sz val="10"/>
        <color theme="1"/>
        <rFont val="Arial"/>
        <family val="2"/>
      </rPr>
      <t>/</t>
    </r>
    <r>
      <rPr>
        <sz val="10"/>
        <color theme="1"/>
        <rFont val="宋体"/>
        <family val="3"/>
        <charset val="134"/>
      </rPr>
      <t xml:space="preserve">下期改进：
</t>
    </r>
    <r>
      <rPr>
        <sz val="10"/>
        <color theme="1"/>
        <rFont val="Arial"/>
        <family val="2"/>
      </rPr>
      <t>1.</t>
    </r>
    <r>
      <rPr>
        <sz val="10"/>
        <color theme="1"/>
        <rFont val="宋体"/>
        <family val="3"/>
        <charset val="134"/>
      </rPr>
      <t xml:space="preserve">创意比较单一，没有单独为某些时段网站上的促销活动设计相关创意，形成宣传和网站的呼应；
</t>
    </r>
    <r>
      <rPr>
        <sz val="10"/>
        <color theme="1"/>
        <rFont val="Arial"/>
        <family val="2"/>
      </rPr>
      <t>2.</t>
    </r>
    <r>
      <rPr>
        <sz val="10"/>
        <color theme="1"/>
        <rFont val="宋体"/>
        <family val="3"/>
        <charset val="134"/>
      </rPr>
      <t>人群模型仍有欠缺，有部分网站收集到的人群行为没能参与到人群分析算法当中，没能将此部分数据用于完善基于网站</t>
    </r>
    <r>
      <rPr>
        <sz val="10"/>
        <color theme="1"/>
        <rFont val="Arial"/>
        <family val="2"/>
      </rPr>
      <t>visitor</t>
    </r>
    <r>
      <rPr>
        <sz val="10"/>
        <color theme="1"/>
        <rFont val="宋体"/>
        <family val="3"/>
        <charset val="134"/>
      </rPr>
      <t>和转化的人群模型，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用于新用户</t>
    </r>
    <r>
      <rPr>
        <sz val="10"/>
        <color theme="1"/>
        <rFont val="Arial"/>
        <family val="2"/>
      </rPr>
      <t>look-alike</t>
    </r>
    <r>
      <rPr>
        <sz val="10"/>
        <color theme="1"/>
        <rFont val="宋体"/>
        <family val="3"/>
        <charset val="134"/>
      </rPr>
      <t>及再营销的深化；</t>
    </r>
    <r>
      <rPr>
        <sz val="10"/>
        <color theme="1"/>
        <rFont val="宋体"/>
        <family val="3"/>
        <charset val="134"/>
      </rPr>
      <t xml:space="preserve">
相信经过第一阶段的工作，一定能让第二阶段有更好的执行效果。</t>
    </r>
    <phoneticPr fontId="24" type="noConversion"/>
  </si>
</sst>
</file>

<file path=xl/styles.xml><?xml version="1.0" encoding="utf-8"?>
<styleSheet xmlns="http://schemas.openxmlformats.org/spreadsheetml/2006/main">
  <numFmts count="2">
    <numFmt numFmtId="26" formatCode="\$#,##0.00_);[Red]\(\$#,##0.00\)"/>
    <numFmt numFmtId="176" formatCode="0.000%"/>
  </numFmts>
  <fonts count="33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b/>
      <sz val="10"/>
      <color theme="1"/>
      <name val="宋体"/>
      <family val="2"/>
    </font>
    <font>
      <sz val="11"/>
      <color theme="1"/>
      <name val="宋体"/>
      <family val="3"/>
      <charset val="134"/>
    </font>
    <font>
      <sz val="10"/>
      <color theme="1"/>
      <name val="宋体"/>
      <family val="2"/>
    </font>
    <font>
      <sz val="9"/>
      <name val="宋体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7" borderId="2" applyNumberFormat="0" applyAlignment="0" applyProtection="0">
      <alignment vertical="center"/>
    </xf>
    <xf numFmtId="0" fontId="6" fillId="28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0" borderId="2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" fillId="32" borderId="8" applyNumberFormat="0" applyFont="0" applyAlignment="0" applyProtection="0">
      <alignment vertical="center"/>
    </xf>
    <xf numFmtId="0" fontId="15" fillId="27" borderId="9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34" borderId="0" xfId="0" applyFill="1">
      <alignment vertical="center"/>
    </xf>
    <xf numFmtId="14" fontId="19" fillId="34" borderId="1" xfId="0" applyNumberFormat="1" applyFont="1" applyFill="1" applyBorder="1">
      <alignment vertical="center"/>
    </xf>
    <xf numFmtId="0" fontId="0" fillId="34" borderId="15" xfId="0" applyFill="1" applyBorder="1">
      <alignment vertical="center"/>
    </xf>
    <xf numFmtId="0" fontId="0" fillId="34" borderId="0" xfId="0" applyFill="1" applyBorder="1">
      <alignment vertical="center"/>
    </xf>
    <xf numFmtId="0" fontId="0" fillId="34" borderId="16" xfId="0" applyFill="1" applyBorder="1">
      <alignment vertical="center"/>
    </xf>
    <xf numFmtId="0" fontId="0" fillId="34" borderId="17" xfId="0" applyFill="1" applyBorder="1">
      <alignment vertical="center"/>
    </xf>
    <xf numFmtId="0" fontId="0" fillId="34" borderId="11" xfId="0" applyFill="1" applyBorder="1">
      <alignment vertical="center"/>
    </xf>
    <xf numFmtId="0" fontId="0" fillId="34" borderId="18" xfId="0" applyFill="1" applyBorder="1">
      <alignment vertical="center"/>
    </xf>
    <xf numFmtId="26" fontId="19" fillId="34" borderId="1" xfId="0" applyNumberFormat="1" applyFont="1" applyFill="1" applyBorder="1" applyAlignment="1"/>
    <xf numFmtId="3" fontId="19" fillId="36" borderId="1" xfId="0" applyNumberFormat="1" applyFont="1" applyFill="1" applyBorder="1" applyAlignment="1"/>
    <xf numFmtId="26" fontId="19" fillId="36" borderId="1" xfId="0" applyNumberFormat="1" applyFont="1" applyFill="1" applyBorder="1" applyAlignment="1"/>
    <xf numFmtId="0" fontId="25" fillId="34" borderId="15" xfId="0" applyFont="1" applyFill="1" applyBorder="1">
      <alignment vertical="center"/>
    </xf>
    <xf numFmtId="0" fontId="25" fillId="34" borderId="0" xfId="0" applyFont="1" applyFill="1" applyBorder="1">
      <alignment vertical="center"/>
    </xf>
    <xf numFmtId="0" fontId="25" fillId="34" borderId="16" xfId="0" applyFont="1" applyFill="1" applyBorder="1">
      <alignment vertical="center"/>
    </xf>
    <xf numFmtId="0" fontId="26" fillId="35" borderId="0" xfId="0" applyFont="1" applyFill="1" applyBorder="1" applyAlignment="1">
      <alignment horizontal="left" vertical="center"/>
    </xf>
    <xf numFmtId="0" fontId="19" fillId="36" borderId="1" xfId="0" applyFont="1" applyFill="1" applyBorder="1" applyAlignment="1">
      <alignment horizontal="right" vertical="center"/>
    </xf>
    <xf numFmtId="0" fontId="25" fillId="34" borderId="0" xfId="0" applyFont="1" applyFill="1" applyAlignment="1">
      <alignment vertical="center"/>
    </xf>
    <xf numFmtId="176" fontId="19" fillId="34" borderId="1" xfId="39" applyNumberFormat="1" applyFont="1" applyFill="1" applyBorder="1">
      <alignment vertical="center"/>
    </xf>
    <xf numFmtId="0" fontId="28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176" fontId="19" fillId="34" borderId="0" xfId="39" applyNumberFormat="1" applyFont="1" applyFill="1" applyBorder="1">
      <alignment vertical="center"/>
    </xf>
    <xf numFmtId="0" fontId="27" fillId="35" borderId="0" xfId="0" applyFont="1" applyFill="1" applyBorder="1">
      <alignment vertical="center"/>
    </xf>
    <xf numFmtId="3" fontId="19" fillId="34" borderId="1" xfId="0" applyNumberFormat="1" applyFont="1" applyFill="1" applyBorder="1" applyAlignment="1">
      <alignment horizontal="right"/>
    </xf>
    <xf numFmtId="3" fontId="21" fillId="34" borderId="1" xfId="0" applyNumberFormat="1" applyFont="1" applyFill="1" applyBorder="1" applyAlignment="1">
      <alignment horizontal="right"/>
    </xf>
    <xf numFmtId="176" fontId="19" fillId="37" borderId="1" xfId="39" applyNumberFormat="1" applyFont="1" applyFill="1" applyBorder="1">
      <alignment vertical="center"/>
    </xf>
    <xf numFmtId="0" fontId="28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7" fillId="35" borderId="0" xfId="0" applyFont="1" applyFill="1" applyBorder="1" applyAlignment="1">
      <alignment horizontal="left" vertical="center"/>
    </xf>
    <xf numFmtId="14" fontId="21" fillId="34" borderId="1" xfId="0" applyNumberFormat="1" applyFont="1" applyFill="1" applyBorder="1" applyAlignment="1">
      <alignment horizontal="right" vertical="center"/>
    </xf>
    <xf numFmtId="3" fontId="19" fillId="34" borderId="0" xfId="0" applyNumberFormat="1" applyFont="1" applyFill="1" applyBorder="1" applyAlignment="1">
      <alignment horizontal="right"/>
    </xf>
    <xf numFmtId="26" fontId="0" fillId="34" borderId="0" xfId="0" applyNumberFormat="1" applyFill="1" applyBorder="1">
      <alignment vertical="center"/>
    </xf>
    <xf numFmtId="26" fontId="19" fillId="38" borderId="1" xfId="0" applyNumberFormat="1" applyFont="1" applyFill="1" applyBorder="1" applyAlignment="1"/>
    <xf numFmtId="3" fontId="19" fillId="38" borderId="1" xfId="0" applyNumberFormat="1" applyFont="1" applyFill="1" applyBorder="1" applyAlignment="1">
      <alignment horizontal="right"/>
    </xf>
    <xf numFmtId="0" fontId="22" fillId="33" borderId="12" xfId="0" applyFont="1" applyFill="1" applyBorder="1" applyAlignment="1">
      <alignment horizontal="center" vertical="center"/>
    </xf>
    <xf numFmtId="0" fontId="22" fillId="33" borderId="13" xfId="0" applyFont="1" applyFill="1" applyBorder="1" applyAlignment="1">
      <alignment horizontal="center" vertical="center"/>
    </xf>
    <xf numFmtId="0" fontId="22" fillId="33" borderId="14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left" vertical="center" wrapText="1"/>
    </xf>
    <xf numFmtId="0" fontId="19" fillId="34" borderId="13" xfId="0" applyFont="1" applyFill="1" applyBorder="1" applyAlignment="1">
      <alignment horizontal="left" vertical="center" wrapText="1"/>
    </xf>
    <xf numFmtId="0" fontId="19" fillId="34" borderId="14" xfId="0" applyFont="1" applyFill="1" applyBorder="1" applyAlignment="1">
      <alignment horizontal="left" vertical="center" wrapText="1"/>
    </xf>
    <xf numFmtId="0" fontId="19" fillId="34" borderId="15" xfId="0" applyFont="1" applyFill="1" applyBorder="1" applyAlignment="1">
      <alignment horizontal="left" vertical="center" wrapText="1"/>
    </xf>
    <xf numFmtId="0" fontId="19" fillId="34" borderId="0" xfId="0" applyFont="1" applyFill="1" applyBorder="1" applyAlignment="1">
      <alignment horizontal="left" vertical="center" wrapText="1"/>
    </xf>
    <xf numFmtId="0" fontId="19" fillId="34" borderId="16" xfId="0" applyFont="1" applyFill="1" applyBorder="1" applyAlignment="1">
      <alignment horizontal="left" vertical="center" wrapText="1"/>
    </xf>
    <xf numFmtId="0" fontId="19" fillId="34" borderId="17" xfId="0" applyFont="1" applyFill="1" applyBorder="1" applyAlignment="1">
      <alignment horizontal="left" vertical="center" wrapText="1"/>
    </xf>
    <xf numFmtId="0" fontId="19" fillId="34" borderId="11" xfId="0" applyFont="1" applyFill="1" applyBorder="1" applyAlignment="1">
      <alignment horizontal="left" vertical="center" wrapText="1"/>
    </xf>
    <xf numFmtId="0" fontId="19" fillId="34" borderId="18" xfId="0" applyFont="1" applyFill="1" applyBorder="1" applyAlignment="1">
      <alignment horizontal="left" vertical="center" wrapText="1"/>
    </xf>
    <xf numFmtId="0" fontId="28" fillId="33" borderId="1" xfId="0" applyFont="1" applyFill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O58"/>
  <sheetViews>
    <sheetView tabSelected="1" workbookViewId="0">
      <selection activeCell="K5" sqref="K5"/>
    </sheetView>
  </sheetViews>
  <sheetFormatPr defaultColWidth="9" defaultRowHeight="13.5"/>
  <cols>
    <col min="1" max="1" width="3.625" style="1" customWidth="1"/>
    <col min="2" max="2" width="2.625" style="1" customWidth="1"/>
    <col min="3" max="3" width="15.875" style="1" customWidth="1"/>
    <col min="4" max="4" width="12" style="1" customWidth="1"/>
    <col min="5" max="5" width="11.375" style="1" customWidth="1"/>
    <col min="6" max="6" width="9.875" style="1" customWidth="1"/>
    <col min="7" max="7" width="10" style="1" customWidth="1"/>
    <col min="8" max="8" width="15.125" style="1" customWidth="1"/>
    <col min="9" max="9" width="12.375" style="1" customWidth="1"/>
    <col min="10" max="10" width="11.75" style="1" customWidth="1"/>
    <col min="11" max="11" width="10.625" style="1" customWidth="1"/>
    <col min="12" max="13" width="6.625" style="1" customWidth="1"/>
    <col min="14" max="14" width="18.25" style="1" customWidth="1"/>
    <col min="15" max="15" width="2.625" style="1" customWidth="1"/>
    <col min="16" max="16384" width="9" style="1"/>
  </cols>
  <sheetData>
    <row r="2" spans="2:15" ht="15.75">
      <c r="B2" s="34" t="s">
        <v>11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6"/>
    </row>
    <row r="3" spans="2:15" ht="14.25"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4"/>
    </row>
    <row r="4" spans="2:15" ht="14.25">
      <c r="B4" s="12"/>
      <c r="C4" s="15" t="s">
        <v>1</v>
      </c>
      <c r="D4" s="13"/>
      <c r="E4" s="13"/>
      <c r="F4" s="28" t="s">
        <v>25</v>
      </c>
      <c r="G4" s="13"/>
      <c r="H4" s="13"/>
      <c r="I4" s="13"/>
      <c r="J4" s="13"/>
      <c r="K4" s="13"/>
      <c r="L4" s="13"/>
      <c r="M4" s="13"/>
      <c r="N4" s="13"/>
      <c r="O4" s="14"/>
    </row>
    <row r="5" spans="2:15" ht="14.25">
      <c r="B5" s="12"/>
      <c r="C5" s="19" t="s">
        <v>2</v>
      </c>
      <c r="D5" s="19" t="s">
        <v>3</v>
      </c>
      <c r="E5" s="13"/>
      <c r="F5" s="27" t="s">
        <v>21</v>
      </c>
      <c r="G5" s="27" t="s">
        <v>22</v>
      </c>
      <c r="H5" s="27" t="s">
        <v>26</v>
      </c>
      <c r="I5" s="13"/>
      <c r="J5" s="13"/>
      <c r="K5" s="13"/>
      <c r="L5" s="13"/>
      <c r="M5" s="13"/>
      <c r="N5" s="13"/>
      <c r="O5" s="14"/>
    </row>
    <row r="6" spans="2:15" ht="14.25">
      <c r="B6" s="12"/>
      <c r="C6" s="2">
        <v>41193</v>
      </c>
      <c r="D6" s="2">
        <v>41246</v>
      </c>
      <c r="E6" s="13"/>
      <c r="F6" s="29" t="s">
        <v>23</v>
      </c>
      <c r="G6" s="29" t="s">
        <v>24</v>
      </c>
      <c r="H6" s="29" t="s">
        <v>27</v>
      </c>
      <c r="I6" s="13"/>
      <c r="J6" s="13"/>
      <c r="K6" s="13"/>
      <c r="L6" s="13"/>
      <c r="M6" s="13"/>
      <c r="N6" s="13"/>
      <c r="O6" s="14"/>
    </row>
    <row r="7" spans="2:15" ht="14.25"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4"/>
    </row>
    <row r="8" spans="2:15" ht="14.25">
      <c r="B8" s="12"/>
      <c r="C8" s="22" t="s">
        <v>17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4"/>
    </row>
    <row r="9" spans="2:15" ht="25.5">
      <c r="B9" s="12"/>
      <c r="C9" s="27" t="s">
        <v>12</v>
      </c>
      <c r="D9" s="19" t="s">
        <v>4</v>
      </c>
      <c r="E9" s="20" t="s">
        <v>8</v>
      </c>
      <c r="F9" s="19" t="s">
        <v>7</v>
      </c>
      <c r="G9" s="27" t="s">
        <v>13</v>
      </c>
      <c r="H9" s="27" t="s">
        <v>15</v>
      </c>
      <c r="I9" s="27" t="s">
        <v>14</v>
      </c>
      <c r="J9" s="27" t="s">
        <v>16</v>
      </c>
      <c r="K9" s="19" t="s">
        <v>5</v>
      </c>
      <c r="L9" s="19" t="s">
        <v>9</v>
      </c>
      <c r="M9" s="19" t="s">
        <v>0</v>
      </c>
      <c r="N9" s="46" t="s">
        <v>43</v>
      </c>
      <c r="O9" s="14"/>
    </row>
    <row r="10" spans="2:15" ht="14.25">
      <c r="B10" s="12"/>
      <c r="C10" s="24" t="s">
        <v>29</v>
      </c>
      <c r="D10" s="23">
        <v>7011051</v>
      </c>
      <c r="E10" s="23">
        <v>4028</v>
      </c>
      <c r="F10" s="18">
        <f t="shared" ref="F10" si="0">E10/D10</f>
        <v>5.7452156602483706E-4</v>
      </c>
      <c r="G10" s="23">
        <v>419</v>
      </c>
      <c r="H10" s="32">
        <v>24093.26</v>
      </c>
      <c r="I10" s="23">
        <v>6</v>
      </c>
      <c r="J10" s="32">
        <v>285.23</v>
      </c>
      <c r="K10" s="32">
        <v>3443.91</v>
      </c>
      <c r="L10" s="9">
        <f>K10/D10*1000</f>
        <v>0.49121165999220379</v>
      </c>
      <c r="M10" s="9">
        <f>K10/E10</f>
        <v>0.85499255213505454</v>
      </c>
      <c r="N10" s="23">
        <v>291832</v>
      </c>
      <c r="O10" s="14"/>
    </row>
    <row r="11" spans="2:15" ht="14.25">
      <c r="B11" s="12"/>
      <c r="C11" s="24" t="s">
        <v>30</v>
      </c>
      <c r="D11" s="23">
        <v>4388179</v>
      </c>
      <c r="E11" s="23">
        <v>3578</v>
      </c>
      <c r="F11" s="18">
        <f>E11/D11</f>
        <v>8.1537239023294174E-4</v>
      </c>
      <c r="G11" s="23">
        <v>2234</v>
      </c>
      <c r="H11" s="32">
        <v>155122.07999999999</v>
      </c>
      <c r="I11" s="23">
        <v>18</v>
      </c>
      <c r="J11" s="32">
        <v>839.66</v>
      </c>
      <c r="K11" s="32">
        <v>3847.76</v>
      </c>
      <c r="L11" s="9">
        <f>K11/D11*1000</f>
        <v>0.87684663729533374</v>
      </c>
      <c r="M11" s="9">
        <f>K11/E11</f>
        <v>1.07539407490218</v>
      </c>
      <c r="N11" s="23">
        <v>1061959</v>
      </c>
      <c r="O11" s="14"/>
    </row>
    <row r="12" spans="2:15" ht="14.25">
      <c r="B12" s="12"/>
      <c r="C12" s="16" t="s">
        <v>6</v>
      </c>
      <c r="D12" s="10">
        <f>SUM(D10:D11)</f>
        <v>11399230</v>
      </c>
      <c r="E12" s="10">
        <f>SUM(E10:E11)</f>
        <v>7606</v>
      </c>
      <c r="F12" s="25">
        <f>E12/D12</f>
        <v>6.6723805028936166E-4</v>
      </c>
      <c r="G12" s="10">
        <f>SUM(G10:G11)</f>
        <v>2653</v>
      </c>
      <c r="H12" s="11">
        <f>SUM(H10:H11)</f>
        <v>179215.34</v>
      </c>
      <c r="I12" s="10">
        <f>SUM(I10:I11)</f>
        <v>24</v>
      </c>
      <c r="J12" s="11">
        <f>SUM(J10:J11)</f>
        <v>1124.8899999999999</v>
      </c>
      <c r="K12" s="11">
        <f>SUM(K10:K11)</f>
        <v>7291.67</v>
      </c>
      <c r="L12" s="11">
        <f>K12/D12*1000</f>
        <v>0.63966338077221008</v>
      </c>
      <c r="M12" s="11">
        <f>K12/E12</f>
        <v>0.9586734157244281</v>
      </c>
      <c r="N12" s="10">
        <f>SUM(N10:N11)</f>
        <v>1353791</v>
      </c>
      <c r="O12" s="14"/>
    </row>
    <row r="13" spans="2:15" ht="14.25">
      <c r="B13" s="12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14"/>
    </row>
    <row r="14" spans="2:15" ht="14.25">
      <c r="B14" s="12"/>
      <c r="C14" s="22" t="s">
        <v>18</v>
      </c>
      <c r="D14" s="13"/>
      <c r="E14" s="13"/>
      <c r="F14" s="13"/>
      <c r="G14" s="13"/>
      <c r="I14" s="13"/>
      <c r="J14" s="13"/>
      <c r="K14" s="13"/>
      <c r="L14" s="13"/>
      <c r="M14" s="13"/>
      <c r="N14" s="13"/>
      <c r="O14" s="14"/>
    </row>
    <row r="15" spans="2:15" ht="14.25">
      <c r="B15" s="12"/>
      <c r="C15" s="27" t="s">
        <v>12</v>
      </c>
      <c r="D15" s="26" t="s">
        <v>4</v>
      </c>
      <c r="E15" s="27" t="s">
        <v>20</v>
      </c>
      <c r="F15" s="27" t="s">
        <v>8</v>
      </c>
      <c r="G15" s="27" t="s">
        <v>19</v>
      </c>
      <c r="I15" s="4"/>
      <c r="J15" s="4"/>
      <c r="K15" s="4"/>
      <c r="L15" s="4"/>
      <c r="M15" s="4"/>
      <c r="N15" s="4"/>
      <c r="O15" s="14"/>
    </row>
    <row r="16" spans="2:15" ht="14.25">
      <c r="B16" s="12"/>
      <c r="C16" s="24" t="s">
        <v>29</v>
      </c>
      <c r="D16" s="23">
        <v>7011051</v>
      </c>
      <c r="E16" s="33">
        <v>4649913</v>
      </c>
      <c r="F16" s="23">
        <v>4028</v>
      </c>
      <c r="G16" s="23">
        <v>3706</v>
      </c>
      <c r="I16" s="4"/>
      <c r="J16" s="31"/>
      <c r="K16" s="4"/>
      <c r="L16" s="4"/>
      <c r="M16" s="4"/>
      <c r="N16" s="4"/>
      <c r="O16" s="14"/>
    </row>
    <row r="17" spans="2:15" ht="14.25">
      <c r="B17" s="12"/>
      <c r="C17" s="24" t="s">
        <v>30</v>
      </c>
      <c r="D17" s="23">
        <v>4388179</v>
      </c>
      <c r="E17" s="33">
        <v>1153118</v>
      </c>
      <c r="F17" s="23">
        <v>3578</v>
      </c>
      <c r="G17" s="23">
        <v>3147</v>
      </c>
      <c r="I17" s="4"/>
      <c r="J17" s="4"/>
      <c r="K17" s="4"/>
      <c r="L17" s="4"/>
      <c r="M17" s="4"/>
      <c r="N17" s="4"/>
      <c r="O17" s="14"/>
    </row>
    <row r="18" spans="2:15" ht="14.25">
      <c r="B18" s="12"/>
      <c r="C18" s="16" t="s">
        <v>6</v>
      </c>
      <c r="D18" s="10">
        <f>SUM(D16:D17)</f>
        <v>11399230</v>
      </c>
      <c r="E18" s="10">
        <v>5658358</v>
      </c>
      <c r="F18" s="10">
        <f>SUM(F16:F17)</f>
        <v>7606</v>
      </c>
      <c r="G18" s="10">
        <v>6811</v>
      </c>
      <c r="H18" s="4"/>
      <c r="I18" s="4"/>
      <c r="J18" s="4"/>
      <c r="K18" s="4"/>
      <c r="L18" s="4"/>
      <c r="M18" s="4"/>
      <c r="N18" s="4"/>
      <c r="O18" s="14"/>
    </row>
    <row r="19" spans="2:15" ht="14.25">
      <c r="B19" s="12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14"/>
    </row>
    <row r="20" spans="2:15" ht="14.25">
      <c r="B20" s="12"/>
      <c r="C20" s="22" t="s">
        <v>32</v>
      </c>
      <c r="D20" s="22"/>
      <c r="G20" s="4"/>
      <c r="H20" s="22" t="s">
        <v>33</v>
      </c>
      <c r="I20" s="22"/>
      <c r="L20" s="4"/>
      <c r="M20" s="4"/>
      <c r="N20" s="4"/>
      <c r="O20" s="14"/>
    </row>
    <row r="21" spans="2:15" ht="14.25">
      <c r="B21" s="12"/>
      <c r="C21" s="27" t="s">
        <v>28</v>
      </c>
      <c r="D21" s="27" t="s">
        <v>31</v>
      </c>
      <c r="E21" s="27" t="s">
        <v>8</v>
      </c>
      <c r="F21" s="26" t="s">
        <v>7</v>
      </c>
      <c r="G21" s="4"/>
      <c r="H21" s="27" t="s">
        <v>28</v>
      </c>
      <c r="I21" s="27" t="s">
        <v>31</v>
      </c>
      <c r="J21" s="27" t="s">
        <v>8</v>
      </c>
      <c r="K21" s="26" t="s">
        <v>7</v>
      </c>
      <c r="L21" s="4"/>
      <c r="M21" s="4"/>
      <c r="N21" s="4"/>
      <c r="O21" s="14"/>
    </row>
    <row r="22" spans="2:15" ht="14.25">
      <c r="B22" s="12"/>
      <c r="C22" s="24" t="s">
        <v>34</v>
      </c>
      <c r="D22" s="23">
        <v>4649913</v>
      </c>
      <c r="E22" s="23">
        <v>2376.58</v>
      </c>
      <c r="F22" s="18">
        <f t="shared" ref="F22:F29" si="1">E22/D22</f>
        <v>5.1110203567249538E-4</v>
      </c>
      <c r="G22" s="4"/>
      <c r="H22" s="24" t="s">
        <v>34</v>
      </c>
      <c r="I22" s="23">
        <v>1153118</v>
      </c>
      <c r="J22" s="23">
        <v>1164.53</v>
      </c>
      <c r="K22" s="18">
        <f t="shared" ref="K22:K29" si="2">J22/I22</f>
        <v>1.0098966454430509E-3</v>
      </c>
      <c r="L22" s="4"/>
      <c r="M22" s="4"/>
      <c r="N22" s="4"/>
      <c r="O22" s="14"/>
    </row>
    <row r="23" spans="2:15" ht="14.25">
      <c r="B23" s="12"/>
      <c r="C23" s="24" t="s">
        <v>35</v>
      </c>
      <c r="D23" s="23">
        <v>1669783</v>
      </c>
      <c r="E23" s="23">
        <v>748.54</v>
      </c>
      <c r="F23" s="18">
        <f t="shared" si="1"/>
        <v>4.4828579522009744E-4</v>
      </c>
      <c r="G23" s="4"/>
      <c r="H23" s="24" t="s">
        <v>35</v>
      </c>
      <c r="I23" s="23">
        <v>807557</v>
      </c>
      <c r="J23" s="23">
        <v>615.83999999999992</v>
      </c>
      <c r="K23" s="18">
        <f t="shared" si="2"/>
        <v>7.6259632446997534E-4</v>
      </c>
      <c r="L23" s="4"/>
      <c r="M23" s="4"/>
      <c r="N23" s="4"/>
      <c r="O23" s="14"/>
    </row>
    <row r="24" spans="2:15" ht="14.25">
      <c r="B24" s="12"/>
      <c r="C24" s="24" t="s">
        <v>36</v>
      </c>
      <c r="D24" s="23">
        <v>590954</v>
      </c>
      <c r="E24" s="23">
        <v>326.39999999999998</v>
      </c>
      <c r="F24" s="18">
        <f t="shared" si="1"/>
        <v>5.523272538979345E-4</v>
      </c>
      <c r="G24" s="4"/>
      <c r="H24" s="24" t="s">
        <v>36</v>
      </c>
      <c r="I24" s="23">
        <v>581754</v>
      </c>
      <c r="J24" s="23">
        <v>445.24</v>
      </c>
      <c r="K24" s="18">
        <f t="shared" si="2"/>
        <v>7.6534067664339224E-4</v>
      </c>
      <c r="L24" s="4"/>
      <c r="M24" s="4"/>
      <c r="N24" s="4"/>
      <c r="O24" s="14"/>
    </row>
    <row r="25" spans="2:15" ht="14.25">
      <c r="B25" s="12"/>
      <c r="C25" s="24" t="s">
        <v>37</v>
      </c>
      <c r="D25" s="23">
        <v>328867</v>
      </c>
      <c r="E25" s="23">
        <v>190.25</v>
      </c>
      <c r="F25" s="18">
        <f t="shared" si="1"/>
        <v>5.7850133944725376E-4</v>
      </c>
      <c r="G25" s="4"/>
      <c r="H25" s="24" t="s">
        <v>37</v>
      </c>
      <c r="I25" s="23">
        <v>396144</v>
      </c>
      <c r="J25" s="23">
        <v>312.93</v>
      </c>
      <c r="K25" s="18">
        <f t="shared" si="2"/>
        <v>7.8994002181025081E-4</v>
      </c>
      <c r="L25" s="4"/>
      <c r="M25" s="4"/>
      <c r="N25" s="4"/>
      <c r="O25" s="14"/>
    </row>
    <row r="26" spans="2:15" ht="14.25">
      <c r="B26" s="12"/>
      <c r="C26" s="24" t="s">
        <v>38</v>
      </c>
      <c r="D26" s="23">
        <v>166827</v>
      </c>
      <c r="E26" s="23">
        <v>111.6</v>
      </c>
      <c r="F26" s="18">
        <f t="shared" si="1"/>
        <v>6.6895646388174569E-4</v>
      </c>
      <c r="G26" s="4"/>
      <c r="H26" s="24" t="s">
        <v>38</v>
      </c>
      <c r="I26" s="23">
        <v>294777</v>
      </c>
      <c r="J26" s="23">
        <v>188.07000000000002</v>
      </c>
      <c r="K26" s="18">
        <f t="shared" si="2"/>
        <v>6.3800771430606873E-4</v>
      </c>
      <c r="L26" s="4"/>
      <c r="M26" s="4"/>
      <c r="N26" s="4"/>
      <c r="O26" s="14"/>
    </row>
    <row r="27" spans="2:15" ht="14.25">
      <c r="B27" s="12"/>
      <c r="C27" s="24" t="s">
        <v>39</v>
      </c>
      <c r="D27" s="23">
        <v>109038</v>
      </c>
      <c r="E27" s="23">
        <v>52.17</v>
      </c>
      <c r="F27" s="18">
        <f t="shared" si="1"/>
        <v>4.7845705167006E-4</v>
      </c>
      <c r="G27" s="4"/>
      <c r="H27" s="24" t="s">
        <v>39</v>
      </c>
      <c r="I27" s="23">
        <v>225609</v>
      </c>
      <c r="J27" s="23">
        <v>160.74</v>
      </c>
      <c r="K27" s="18">
        <f t="shared" si="2"/>
        <v>7.1247157693177135E-4</v>
      </c>
      <c r="L27" s="4"/>
      <c r="M27" s="4"/>
      <c r="N27" s="4"/>
      <c r="O27" s="14"/>
    </row>
    <row r="28" spans="2:15" ht="14.25">
      <c r="B28" s="12"/>
      <c r="C28" s="24" t="s">
        <v>40</v>
      </c>
      <c r="D28" s="23">
        <v>74683</v>
      </c>
      <c r="E28" s="23">
        <v>47.87</v>
      </c>
      <c r="F28" s="18">
        <f t="shared" si="1"/>
        <v>6.4097585795964268E-4</v>
      </c>
      <c r="G28" s="4"/>
      <c r="H28" s="24" t="s">
        <v>40</v>
      </c>
      <c r="I28" s="23">
        <v>165012</v>
      </c>
      <c r="J28" s="23">
        <v>126.28</v>
      </c>
      <c r="K28" s="18">
        <f t="shared" si="2"/>
        <v>7.6527767677502239E-4</v>
      </c>
      <c r="L28" s="4"/>
      <c r="M28" s="4"/>
      <c r="N28" s="4"/>
      <c r="O28" s="14"/>
    </row>
    <row r="29" spans="2:15" ht="14.25">
      <c r="B29" s="12"/>
      <c r="C29" s="24" t="s">
        <v>41</v>
      </c>
      <c r="D29" s="23">
        <v>272537</v>
      </c>
      <c r="E29" s="23">
        <v>141.58000000000001</v>
      </c>
      <c r="F29" s="18">
        <f t="shared" si="1"/>
        <v>5.1948909689326591E-4</v>
      </c>
      <c r="G29" s="4"/>
      <c r="H29" s="24" t="s">
        <v>41</v>
      </c>
      <c r="I29" s="23">
        <v>819141</v>
      </c>
      <c r="J29" s="23">
        <v>471.34000000000003</v>
      </c>
      <c r="K29" s="18">
        <f t="shared" si="2"/>
        <v>5.7540765265076471E-4</v>
      </c>
      <c r="L29" s="4"/>
      <c r="M29" s="4"/>
      <c r="N29" s="4"/>
      <c r="O29" s="14"/>
    </row>
    <row r="30" spans="2:15" ht="14.25">
      <c r="B30" s="12"/>
      <c r="C30" s="4"/>
      <c r="D30" s="30"/>
      <c r="E30" s="30"/>
      <c r="F30" s="21"/>
      <c r="G30" s="4"/>
      <c r="H30" s="4"/>
      <c r="I30" s="4"/>
      <c r="J30" s="4"/>
      <c r="K30" s="4"/>
      <c r="L30" s="4"/>
      <c r="M30" s="4"/>
      <c r="N30" s="4"/>
      <c r="O30" s="14"/>
    </row>
    <row r="31" spans="2:15" ht="14.25">
      <c r="B31" s="12"/>
      <c r="C31" s="22" t="s">
        <v>10</v>
      </c>
      <c r="G31" s="13"/>
      <c r="H31" s="13"/>
      <c r="I31" s="13"/>
      <c r="J31" s="13"/>
      <c r="K31" s="13"/>
      <c r="L31" s="13"/>
      <c r="M31" s="13"/>
      <c r="N31" s="13"/>
      <c r="O31" s="14"/>
    </row>
    <row r="32" spans="2:15" ht="14.25" customHeight="1">
      <c r="B32" s="12"/>
      <c r="C32" s="37" t="s">
        <v>44</v>
      </c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9"/>
      <c r="O32" s="14"/>
    </row>
    <row r="33" spans="2:15" ht="14.25">
      <c r="B33" s="12"/>
      <c r="C33" s="40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2"/>
      <c r="O33" s="14"/>
    </row>
    <row r="34" spans="2:15">
      <c r="B34" s="3"/>
      <c r="C34" s="40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2"/>
      <c r="O34" s="5"/>
    </row>
    <row r="35" spans="2:15">
      <c r="B35" s="3"/>
      <c r="C35" s="40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2"/>
      <c r="O35" s="5"/>
    </row>
    <row r="36" spans="2:15">
      <c r="B36" s="3"/>
      <c r="C36" s="40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2"/>
      <c r="O36" s="5"/>
    </row>
    <row r="37" spans="2:15">
      <c r="B37" s="3"/>
      <c r="C37" s="40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2"/>
      <c r="O37" s="5"/>
    </row>
    <row r="38" spans="2:15">
      <c r="B38" s="3"/>
      <c r="C38" s="40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2"/>
      <c r="O38" s="5"/>
    </row>
    <row r="39" spans="2:15">
      <c r="B39" s="3"/>
      <c r="C39" s="40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2"/>
      <c r="O39" s="5"/>
    </row>
    <row r="40" spans="2:15">
      <c r="B40" s="3"/>
      <c r="C40" s="40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2"/>
      <c r="O40" s="5"/>
    </row>
    <row r="41" spans="2:15">
      <c r="B41" s="3"/>
      <c r="C41" s="40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2"/>
      <c r="O41" s="5"/>
    </row>
    <row r="42" spans="2:15">
      <c r="B42" s="3"/>
      <c r="C42" s="40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2"/>
      <c r="O42" s="5"/>
    </row>
    <row r="43" spans="2:15">
      <c r="B43" s="3"/>
      <c r="C43" s="40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2"/>
      <c r="O43" s="5"/>
    </row>
    <row r="44" spans="2:15">
      <c r="B44" s="3"/>
      <c r="C44" s="40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2"/>
      <c r="O44" s="5"/>
    </row>
    <row r="45" spans="2:15">
      <c r="B45" s="3"/>
      <c r="C45" s="40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2"/>
      <c r="O45" s="5"/>
    </row>
    <row r="46" spans="2:15">
      <c r="B46" s="3"/>
      <c r="C46" s="40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2"/>
      <c r="O46" s="5"/>
    </row>
    <row r="47" spans="2:15">
      <c r="B47" s="3"/>
      <c r="C47" s="40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2"/>
      <c r="O47" s="5"/>
    </row>
    <row r="48" spans="2:15">
      <c r="B48" s="3"/>
      <c r="C48" s="40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2"/>
      <c r="O48" s="5"/>
    </row>
    <row r="49" spans="2:15">
      <c r="B49" s="3"/>
      <c r="C49" s="40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2"/>
      <c r="O49" s="5"/>
    </row>
    <row r="50" spans="2:15">
      <c r="B50" s="3"/>
      <c r="C50" s="40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2"/>
      <c r="O50" s="5"/>
    </row>
    <row r="51" spans="2:15">
      <c r="B51" s="3"/>
      <c r="C51" s="40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2"/>
      <c r="O51" s="5"/>
    </row>
    <row r="52" spans="2:15">
      <c r="B52" s="3"/>
      <c r="C52" s="40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2"/>
      <c r="O52" s="5"/>
    </row>
    <row r="53" spans="2:15">
      <c r="B53" s="3"/>
      <c r="C53" s="40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2"/>
      <c r="O53" s="5"/>
    </row>
    <row r="54" spans="2:15">
      <c r="B54" s="3"/>
      <c r="C54" s="40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2"/>
      <c r="O54" s="5"/>
    </row>
    <row r="55" spans="2:15">
      <c r="B55" s="3"/>
      <c r="C55" s="43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5"/>
      <c r="O55" s="5"/>
    </row>
    <row r="56" spans="2:15" ht="14.25">
      <c r="B56" s="12"/>
      <c r="C56" s="4"/>
      <c r="D56" s="30"/>
      <c r="E56" s="30"/>
      <c r="F56" s="21"/>
      <c r="G56" s="4"/>
      <c r="H56" s="4"/>
      <c r="I56" s="4"/>
      <c r="J56" s="4"/>
      <c r="K56" s="4"/>
      <c r="L56" s="4"/>
      <c r="M56" s="4"/>
      <c r="N56" s="4"/>
      <c r="O56" s="14"/>
    </row>
    <row r="57" spans="2:15" ht="14.25">
      <c r="B57" s="12"/>
      <c r="C57" s="17" t="s">
        <v>42</v>
      </c>
      <c r="D57" s="30"/>
      <c r="E57" s="30"/>
      <c r="F57" s="21"/>
      <c r="G57" s="4"/>
      <c r="H57" s="4"/>
      <c r="I57" s="4"/>
      <c r="J57" s="4"/>
      <c r="K57" s="4"/>
      <c r="L57" s="4"/>
      <c r="M57" s="4"/>
      <c r="N57" s="4"/>
      <c r="O57" s="14"/>
    </row>
    <row r="58" spans="2:15">
      <c r="B58" s="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8"/>
    </row>
  </sheetData>
  <mergeCells count="2">
    <mergeCell ref="B2:O2"/>
    <mergeCell ref="C32:N55"/>
  </mergeCells>
  <phoneticPr fontId="3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总结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2012-12-18T03:10:35Z</dcterms:modified>
</cp:coreProperties>
</file>