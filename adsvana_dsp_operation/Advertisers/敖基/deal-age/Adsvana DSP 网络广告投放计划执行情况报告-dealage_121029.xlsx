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第一周（10-24～10-28）" sheetId="20" r:id="rId1"/>
    <sheet name="Sheet2" sheetId="17" r:id="rId2"/>
  </sheets>
  <calcPr calcId="125725"/>
</workbook>
</file>

<file path=xl/calcChain.xml><?xml version="1.0" encoding="utf-8"?>
<calcChain xmlns="http://schemas.openxmlformats.org/spreadsheetml/2006/main">
  <c r="K30" i="20"/>
  <c r="J30"/>
  <c r="F30"/>
  <c r="K29"/>
  <c r="J29"/>
  <c r="F29"/>
  <c r="K28"/>
  <c r="J28"/>
  <c r="F28"/>
  <c r="K27"/>
  <c r="J27"/>
  <c r="F27"/>
  <c r="K26"/>
  <c r="J26"/>
  <c r="F26"/>
  <c r="D31"/>
  <c r="E31"/>
  <c r="K31" s="1"/>
  <c r="G31"/>
  <c r="H31"/>
  <c r="I31"/>
  <c r="J31"/>
  <c r="F31" l="1"/>
</calcChain>
</file>

<file path=xl/sharedStrings.xml><?xml version="1.0" encoding="utf-8"?>
<sst xmlns="http://schemas.openxmlformats.org/spreadsheetml/2006/main" count="18" uniqueCount="18">
  <si>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</si>
  <si>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</si>
  <si>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</si>
  <si>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</si>
  <si>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</si>
  <si>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</si>
  <si>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</si>
  <si>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</si>
  <si>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</si>
  <si>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</si>
  <si>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</si>
  <si>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</si>
  <si>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</si>
  <si>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</si>
  <si>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</si>
  <si>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</si>
  <si>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4" type="noConversion"/>
  </si>
  <si>
    <r>
      <t xml:space="preserve">Deal-age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</si>
</sst>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2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abSelected="1" workbookViewId="0">
      <selection activeCell="G5" sqref="G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17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12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16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C22" s="33"/>
      <c r="D22" s="33"/>
      <c r="E22" s="33"/>
      <c r="F22" s="33"/>
      <c r="G22" s="33"/>
      <c r="H22" s="33"/>
      <c r="I22" s="33"/>
      <c r="J22" s="33"/>
      <c r="K22" s="33"/>
      <c r="L22" s="9"/>
    </row>
    <row r="23" spans="2:12">
      <c r="B23" s="7"/>
      <c r="L23" s="9"/>
    </row>
    <row r="24" spans="2:12">
      <c r="B24" s="7"/>
      <c r="C24" s="22" t="s">
        <v>13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11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37373</v>
      </c>
      <c r="E26" s="24">
        <v>22</v>
      </c>
      <c r="F26" s="25">
        <f t="shared" ref="F26:F30" si="0">E26/D26</f>
        <v>5.8866026275653546E-4</v>
      </c>
      <c r="G26" s="17">
        <v>0</v>
      </c>
      <c r="H26" s="28">
        <v>0</v>
      </c>
      <c r="I26" s="1">
        <v>8.2333400000000001</v>
      </c>
      <c r="J26" s="1">
        <f t="shared" ref="J26:J30" si="1">I26/D26*1000</f>
        <v>0.22030182217108607</v>
      </c>
      <c r="K26" s="1">
        <f t="shared" ref="K26:K30" si="2">I26/E26</f>
        <v>0.37424272727272728</v>
      </c>
      <c r="L26" s="9"/>
    </row>
    <row r="27" spans="2:12">
      <c r="B27" s="7"/>
      <c r="C27" s="3">
        <v>41207</v>
      </c>
      <c r="D27" s="17">
        <v>57371</v>
      </c>
      <c r="E27" s="24">
        <v>19</v>
      </c>
      <c r="F27" s="25">
        <f t="shared" si="0"/>
        <v>3.3117777274232628E-4</v>
      </c>
      <c r="G27" s="17">
        <v>0</v>
      </c>
      <c r="H27" s="28">
        <v>0</v>
      </c>
      <c r="I27" s="1">
        <v>11.991989999999999</v>
      </c>
      <c r="J27" s="1">
        <f t="shared" si="1"/>
        <v>0.20902529152359206</v>
      </c>
      <c r="K27" s="1">
        <f t="shared" si="2"/>
        <v>0.63115736842105263</v>
      </c>
      <c r="L27" s="9"/>
    </row>
    <row r="28" spans="2:12">
      <c r="B28" s="7"/>
      <c r="C28" s="3">
        <v>41208</v>
      </c>
      <c r="D28" s="17">
        <v>53322</v>
      </c>
      <c r="E28" s="24">
        <v>28</v>
      </c>
      <c r="F28" s="25">
        <f t="shared" si="0"/>
        <v>5.2511158621207008E-4</v>
      </c>
      <c r="G28" s="17">
        <v>0</v>
      </c>
      <c r="H28" s="28">
        <v>0</v>
      </c>
      <c r="I28" s="1">
        <v>11.37994</v>
      </c>
      <c r="J28" s="1">
        <f t="shared" si="1"/>
        <v>0.21341922658564946</v>
      </c>
      <c r="K28" s="1">
        <f t="shared" si="2"/>
        <v>0.40642642857142858</v>
      </c>
      <c r="L28" s="9"/>
    </row>
    <row r="29" spans="2:12">
      <c r="B29" s="7"/>
      <c r="C29" s="3">
        <v>41209</v>
      </c>
      <c r="D29" s="17">
        <v>59247</v>
      </c>
      <c r="E29" s="24">
        <v>23</v>
      </c>
      <c r="F29" s="25">
        <f t="shared" si="0"/>
        <v>3.8820530997350078E-4</v>
      </c>
      <c r="G29" s="17">
        <v>0</v>
      </c>
      <c r="H29" s="28">
        <v>0</v>
      </c>
      <c r="I29" s="1">
        <v>12.78786</v>
      </c>
      <c r="J29" s="1">
        <f t="shared" si="1"/>
        <v>0.21583978935642312</v>
      </c>
      <c r="K29" s="1">
        <f t="shared" si="2"/>
        <v>0.55599391304347823</v>
      </c>
      <c r="L29" s="9"/>
    </row>
    <row r="30" spans="2:12">
      <c r="B30" s="7"/>
      <c r="C30" s="3">
        <v>41210</v>
      </c>
      <c r="D30" s="17">
        <v>65526</v>
      </c>
      <c r="E30" s="24">
        <v>24</v>
      </c>
      <c r="F30" s="25">
        <f t="shared" si="0"/>
        <v>3.6626682538229102E-4</v>
      </c>
      <c r="G30" s="17">
        <v>0</v>
      </c>
      <c r="H30" s="28">
        <v>0</v>
      </c>
      <c r="I30" s="1">
        <v>14.709339999999999</v>
      </c>
      <c r="J30" s="1">
        <f t="shared" si="1"/>
        <v>0.22448096938619783</v>
      </c>
      <c r="K30" s="1">
        <f t="shared" si="2"/>
        <v>0.6128891666666666</v>
      </c>
      <c r="L30" s="9"/>
    </row>
    <row r="31" spans="2:12">
      <c r="B31" s="7"/>
      <c r="C31" s="11" t="s">
        <v>15</v>
      </c>
      <c r="D31" s="4">
        <f>SUM(D26:D30)</f>
        <v>272839</v>
      </c>
      <c r="E31" s="26">
        <f>SUM(E26:E30)</f>
        <v>116</v>
      </c>
      <c r="F31" s="27">
        <f>E31/D31</f>
        <v>4.251591597975363E-4</v>
      </c>
      <c r="G31" s="4">
        <f>SUM(G26:G30)</f>
        <v>0</v>
      </c>
      <c r="H31" s="5">
        <f>SUM(H26:H30)</f>
        <v>0</v>
      </c>
      <c r="I31" s="5">
        <f>SUM(I26:I30)</f>
        <v>59.102469999999997</v>
      </c>
      <c r="J31" s="5">
        <f>I31/D31*1000</f>
        <v>0.21662031454447495</v>
      </c>
      <c r="K31" s="5">
        <f>I31/E31</f>
        <v>0.50950405172413793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14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第一周（10-24～10-28）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2012-10-30T14:05:38Z</dcterms:modified>
</cp:coreProperties>
</file>