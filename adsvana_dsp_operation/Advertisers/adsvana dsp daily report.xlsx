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19155" windowHeight="8505"/>
  </bookViews>
  <sheets>
    <sheet name="reporting" sheetId="14" r:id="rId1"/>
    <sheet name="aid_tid" sheetId="6" r:id="rId2"/>
    <sheet name="glasses_conv" sheetId="17" r:id="rId3"/>
  </sheets>
  <calcPr calcId="125725"/>
</workbook>
</file>

<file path=xl/calcChain.xml><?xml version="1.0" encoding="utf-8"?>
<calcChain xmlns="http://schemas.openxmlformats.org/spreadsheetml/2006/main">
  <c r="M157" i="14"/>
  <c r="L157"/>
  <c r="Q151"/>
  <c r="P151"/>
  <c r="Q150"/>
  <c r="P150"/>
  <c r="N151"/>
  <c r="N150"/>
  <c r="Q171"/>
  <c r="P171"/>
  <c r="N171"/>
  <c r="Q155"/>
  <c r="P155"/>
  <c r="N155"/>
  <c r="Q129"/>
  <c r="Q130"/>
  <c r="Q131"/>
  <c r="Q132"/>
  <c r="Q134"/>
  <c r="Q135"/>
  <c r="Q136"/>
  <c r="Q137"/>
  <c r="Q138"/>
  <c r="Q139"/>
  <c r="Q127"/>
  <c r="P129"/>
  <c r="P130"/>
  <c r="P131"/>
  <c r="P132"/>
  <c r="P134"/>
  <c r="P135"/>
  <c r="P136"/>
  <c r="P137"/>
  <c r="P138"/>
  <c r="P139"/>
  <c r="P127"/>
  <c r="N129"/>
  <c r="N130"/>
  <c r="N131"/>
  <c r="N132"/>
  <c r="N134"/>
  <c r="N135"/>
  <c r="N136"/>
  <c r="N137"/>
  <c r="N138"/>
  <c r="N139"/>
  <c r="N127"/>
  <c r="H171"/>
  <c r="H172"/>
  <c r="H170"/>
  <c r="G171"/>
  <c r="G172"/>
  <c r="G170"/>
  <c r="E171"/>
  <c r="E172"/>
  <c r="E170"/>
  <c r="F157"/>
  <c r="D157"/>
  <c r="C157"/>
  <c r="H155"/>
  <c r="H156"/>
  <c r="H154"/>
  <c r="G155"/>
  <c r="G156"/>
  <c r="G154"/>
  <c r="E155"/>
  <c r="E156"/>
  <c r="E154"/>
  <c r="H128"/>
  <c r="H129"/>
  <c r="H130"/>
  <c r="H131"/>
  <c r="H132"/>
  <c r="H133"/>
  <c r="H134"/>
  <c r="H135"/>
  <c r="H136"/>
  <c r="H137"/>
  <c r="H138"/>
  <c r="H139"/>
  <c r="H140"/>
  <c r="H127"/>
  <c r="G128"/>
  <c r="G129"/>
  <c r="G130"/>
  <c r="G131"/>
  <c r="G132"/>
  <c r="G133"/>
  <c r="G134"/>
  <c r="G135"/>
  <c r="G136"/>
  <c r="G137"/>
  <c r="G138"/>
  <c r="G139"/>
  <c r="G140"/>
  <c r="G127"/>
  <c r="E128"/>
  <c r="E129"/>
  <c r="E130"/>
  <c r="E131"/>
  <c r="E132"/>
  <c r="E133"/>
  <c r="E134"/>
  <c r="E135"/>
  <c r="E136"/>
  <c r="E137"/>
  <c r="E138"/>
  <c r="E139"/>
  <c r="E140"/>
  <c r="E127"/>
  <c r="F141"/>
  <c r="D141"/>
  <c r="C141"/>
  <c r="V119"/>
  <c r="Y119" s="1"/>
  <c r="W119"/>
  <c r="Z119" s="1"/>
  <c r="X119"/>
  <c r="V120"/>
  <c r="W120"/>
  <c r="X120"/>
  <c r="Y120"/>
  <c r="Z120"/>
  <c r="V121"/>
  <c r="Y121" s="1"/>
  <c r="W121"/>
  <c r="Z121" s="1"/>
  <c r="X121"/>
  <c r="V122"/>
  <c r="W122"/>
  <c r="Z122" s="1"/>
  <c r="X122"/>
  <c r="Y122"/>
  <c r="Z118"/>
  <c r="Y118"/>
  <c r="X118"/>
  <c r="W118"/>
  <c r="V118"/>
  <c r="V114"/>
  <c r="Y114" s="1"/>
  <c r="W114"/>
  <c r="Z114" s="1"/>
  <c r="X114"/>
  <c r="V115"/>
  <c r="W115"/>
  <c r="X115"/>
  <c r="Y115"/>
  <c r="Z115"/>
  <c r="Z113"/>
  <c r="Y113"/>
  <c r="X113"/>
  <c r="W113"/>
  <c r="V113"/>
  <c r="Z116"/>
  <c r="Y116"/>
  <c r="X116"/>
  <c r="W116"/>
  <c r="V116"/>
  <c r="Z111"/>
  <c r="Y111"/>
  <c r="X111"/>
  <c r="W111"/>
  <c r="V111"/>
  <c r="Z123"/>
  <c r="Y123"/>
  <c r="X123"/>
  <c r="W123"/>
  <c r="V123"/>
  <c r="Q114"/>
  <c r="P114"/>
  <c r="B93" l="1"/>
  <c r="O125"/>
  <c r="M125"/>
  <c r="L125"/>
  <c r="F125"/>
  <c r="D125"/>
  <c r="C125"/>
  <c r="M93"/>
  <c r="F93"/>
  <c r="D93"/>
  <c r="C93"/>
  <c r="L93"/>
  <c r="O93"/>
  <c r="O109"/>
  <c r="M109"/>
  <c r="L109"/>
  <c r="D109"/>
  <c r="C109"/>
  <c r="F109"/>
  <c r="G112"/>
  <c r="H112"/>
  <c r="G113"/>
  <c r="H113"/>
  <c r="G114"/>
  <c r="H114"/>
  <c r="G115"/>
  <c r="H115"/>
  <c r="G116"/>
  <c r="H116"/>
  <c r="G117"/>
  <c r="H117"/>
  <c r="G118"/>
  <c r="H118"/>
  <c r="G119"/>
  <c r="H119"/>
  <c r="G120"/>
  <c r="H120"/>
  <c r="G121"/>
  <c r="H121"/>
  <c r="G122"/>
  <c r="H122"/>
  <c r="G123"/>
  <c r="H123"/>
  <c r="G124"/>
  <c r="H124"/>
  <c r="H111"/>
  <c r="G111"/>
  <c r="E112"/>
  <c r="E113"/>
  <c r="E114"/>
  <c r="E115"/>
  <c r="E116"/>
  <c r="E117"/>
  <c r="E118"/>
  <c r="E119"/>
  <c r="E120"/>
  <c r="E121"/>
  <c r="E122"/>
  <c r="E123"/>
  <c r="E124"/>
  <c r="E111"/>
  <c r="G107"/>
  <c r="H107"/>
  <c r="G108"/>
  <c r="H108"/>
  <c r="E107"/>
  <c r="E108"/>
  <c r="X107"/>
  <c r="W107"/>
  <c r="Z107" s="1"/>
  <c r="V107"/>
  <c r="Y107" s="1"/>
  <c r="V105"/>
  <c r="Y105" s="1"/>
  <c r="W105"/>
  <c r="X105"/>
  <c r="Z105"/>
  <c r="V106"/>
  <c r="Y106" s="1"/>
  <c r="W106"/>
  <c r="X106"/>
  <c r="Z106"/>
  <c r="Z104"/>
  <c r="Y104"/>
  <c r="X104"/>
  <c r="W104"/>
  <c r="V104"/>
  <c r="W85"/>
  <c r="Z85" s="1"/>
  <c r="W80"/>
  <c r="Z80" s="1"/>
  <c r="W100"/>
  <c r="Z100" s="1"/>
  <c r="W95"/>
  <c r="Z95" s="1"/>
  <c r="X95"/>
  <c r="V95"/>
  <c r="Y95" s="1"/>
  <c r="P98"/>
  <c r="Q98" s="1"/>
  <c r="V98"/>
  <c r="Y98" s="1"/>
  <c r="X99"/>
  <c r="W99"/>
  <c r="Z99" s="1"/>
  <c r="V99"/>
  <c r="Y99" s="1"/>
  <c r="X98"/>
  <c r="W98"/>
  <c r="Z98" s="1"/>
  <c r="X97"/>
  <c r="W97"/>
  <c r="Z97" s="1"/>
  <c r="V97"/>
  <c r="Y97" s="1"/>
  <c r="X100"/>
  <c r="V100"/>
  <c r="Y100" s="1"/>
  <c r="V103"/>
  <c r="Y103" s="1"/>
  <c r="W103"/>
  <c r="Z103" s="1"/>
  <c r="X103"/>
  <c r="Y102"/>
  <c r="X102"/>
  <c r="W102"/>
  <c r="Z102" s="1"/>
  <c r="V102"/>
  <c r="H96"/>
  <c r="H97"/>
  <c r="H98"/>
  <c r="H99"/>
  <c r="H100"/>
  <c r="H101"/>
  <c r="H102"/>
  <c r="H103"/>
  <c r="H104"/>
  <c r="H105"/>
  <c r="H95"/>
  <c r="G96"/>
  <c r="G97"/>
  <c r="G98"/>
  <c r="G99"/>
  <c r="G100"/>
  <c r="G101"/>
  <c r="G102"/>
  <c r="G103"/>
  <c r="G104"/>
  <c r="G105"/>
  <c r="G95"/>
  <c r="E96"/>
  <c r="E97"/>
  <c r="E98"/>
  <c r="E99"/>
  <c r="E100"/>
  <c r="E101"/>
  <c r="E102"/>
  <c r="E103"/>
  <c r="E104"/>
  <c r="E105"/>
  <c r="E95"/>
  <c r="X85"/>
  <c r="V85"/>
  <c r="Y85" s="1"/>
  <c r="X80"/>
  <c r="V80"/>
  <c r="Y80" s="1"/>
  <c r="N85"/>
  <c r="N88"/>
  <c r="N89"/>
  <c r="N90"/>
  <c r="N91"/>
  <c r="N92"/>
  <c r="N87"/>
  <c r="N83"/>
  <c r="N84"/>
  <c r="Q83"/>
  <c r="P83"/>
  <c r="X83"/>
  <c r="N82"/>
  <c r="V83"/>
  <c r="Y83" s="1"/>
  <c r="W83"/>
  <c r="Z83" s="1"/>
  <c r="V82"/>
  <c r="Y82" s="1"/>
  <c r="W82"/>
  <c r="Z82" s="1"/>
  <c r="X82"/>
  <c r="V84"/>
  <c r="Y84" s="1"/>
  <c r="W84"/>
  <c r="Z84" s="1"/>
  <c r="X84"/>
  <c r="V87"/>
  <c r="Y87" s="1"/>
  <c r="W87"/>
  <c r="Z87" s="1"/>
  <c r="X87"/>
  <c r="V88"/>
  <c r="Y88" s="1"/>
  <c r="W88"/>
  <c r="Z88" s="1"/>
  <c r="X88"/>
  <c r="V89"/>
  <c r="Y89" s="1"/>
  <c r="W89"/>
  <c r="Z89" s="1"/>
  <c r="X89"/>
  <c r="V90"/>
  <c r="Y90" s="1"/>
  <c r="W90"/>
  <c r="Z90" s="1"/>
  <c r="X90"/>
  <c r="V91"/>
  <c r="Y91" s="1"/>
  <c r="W91"/>
  <c r="Z91" s="1"/>
  <c r="X91"/>
  <c r="V92"/>
  <c r="Y92" s="1"/>
  <c r="W92"/>
  <c r="Z92" s="1"/>
  <c r="X92"/>
  <c r="H91"/>
  <c r="H92"/>
  <c r="H81"/>
  <c r="H82"/>
  <c r="H83"/>
  <c r="H84"/>
  <c r="H85"/>
  <c r="H86"/>
  <c r="H87"/>
  <c r="H88"/>
  <c r="H89"/>
  <c r="H90"/>
  <c r="H80"/>
  <c r="G91"/>
  <c r="G92"/>
  <c r="G81"/>
  <c r="G82"/>
  <c r="G83"/>
  <c r="G84"/>
  <c r="G85"/>
  <c r="G86"/>
  <c r="G87"/>
  <c r="G88"/>
  <c r="G89"/>
  <c r="G90"/>
  <c r="G80"/>
  <c r="E91"/>
  <c r="E92"/>
  <c r="E81"/>
  <c r="E82"/>
  <c r="E83"/>
  <c r="E84"/>
  <c r="E85"/>
  <c r="E86"/>
  <c r="E87"/>
  <c r="E88"/>
  <c r="E89"/>
  <c r="E90"/>
  <c r="E80"/>
  <c r="O78"/>
  <c r="M78"/>
  <c r="L78"/>
  <c r="F78"/>
  <c r="D78"/>
  <c r="C78"/>
  <c r="O65"/>
  <c r="M65"/>
  <c r="L65"/>
  <c r="F65"/>
  <c r="D65"/>
  <c r="C65"/>
  <c r="O52"/>
  <c r="M52"/>
  <c r="L52"/>
  <c r="F52"/>
  <c r="D52"/>
  <c r="C52"/>
  <c r="O44"/>
  <c r="M44"/>
  <c r="L44"/>
  <c r="F44"/>
  <c r="D44"/>
  <c r="C44"/>
  <c r="O37"/>
  <c r="M37"/>
  <c r="L37"/>
  <c r="F37"/>
  <c r="D37"/>
  <c r="C37"/>
  <c r="O30"/>
  <c r="M30"/>
  <c r="L30"/>
  <c r="F30"/>
  <c r="D30"/>
  <c r="C30"/>
  <c r="O23"/>
  <c r="M23"/>
  <c r="L23"/>
  <c r="F23"/>
  <c r="D23"/>
  <c r="C23"/>
  <c r="O16"/>
  <c r="M16"/>
  <c r="L16"/>
  <c r="F16"/>
  <c r="D16"/>
  <c r="C16"/>
  <c r="O9"/>
  <c r="M9"/>
  <c r="L9"/>
  <c r="F9"/>
  <c r="C9"/>
  <c r="D9"/>
  <c r="Q69"/>
  <c r="P69"/>
  <c r="N69"/>
  <c r="X69"/>
  <c r="V68"/>
  <c r="Y68" s="1"/>
  <c r="W68"/>
  <c r="Z68" s="1"/>
  <c r="X68"/>
  <c r="V69"/>
  <c r="Y69" s="1"/>
  <c r="W69"/>
  <c r="Z69" s="1"/>
  <c r="V70"/>
  <c r="Y70" s="1"/>
  <c r="W70"/>
  <c r="Z70" s="1"/>
  <c r="X70"/>
  <c r="V71"/>
  <c r="Y71" s="1"/>
  <c r="W71"/>
  <c r="Z71" s="1"/>
  <c r="X71"/>
  <c r="V72"/>
  <c r="Y72" s="1"/>
  <c r="W72"/>
  <c r="Z72" s="1"/>
  <c r="X72"/>
  <c r="V73"/>
  <c r="Y73" s="1"/>
  <c r="W73"/>
  <c r="Z73" s="1"/>
  <c r="X73"/>
  <c r="V74"/>
  <c r="Y74" s="1"/>
  <c r="W74"/>
  <c r="Z74" s="1"/>
  <c r="X74"/>
  <c r="V75"/>
  <c r="Y75" s="1"/>
  <c r="W75"/>
  <c r="Z75" s="1"/>
  <c r="X75"/>
  <c r="V76"/>
  <c r="Y76" s="1"/>
  <c r="W76"/>
  <c r="Z76" s="1"/>
  <c r="X76"/>
  <c r="V77"/>
  <c r="Y77" s="1"/>
  <c r="W77"/>
  <c r="Z77" s="1"/>
  <c r="X77"/>
  <c r="W47"/>
  <c r="Z47" s="1"/>
  <c r="W48"/>
  <c r="Z48" s="1"/>
  <c r="W49"/>
  <c r="Z49" s="1"/>
  <c r="W50"/>
  <c r="Z50" s="1"/>
  <c r="W51"/>
  <c r="Z51" s="1"/>
  <c r="W46"/>
  <c r="Z46" s="1"/>
  <c r="X62"/>
  <c r="X63"/>
  <c r="X64"/>
  <c r="X67"/>
  <c r="X41"/>
  <c r="X42"/>
  <c r="X43"/>
  <c r="X46"/>
  <c r="X47"/>
  <c r="X48"/>
  <c r="X49"/>
  <c r="X50"/>
  <c r="X51"/>
  <c r="X54"/>
  <c r="X55"/>
  <c r="X56"/>
  <c r="X57"/>
  <c r="X58"/>
  <c r="X59"/>
  <c r="X60"/>
  <c r="X61"/>
  <c r="X10"/>
  <c r="X11"/>
  <c r="X12"/>
  <c r="X13"/>
  <c r="X14"/>
  <c r="X15"/>
  <c r="X18"/>
  <c r="X19"/>
  <c r="X20"/>
  <c r="X21"/>
  <c r="X22"/>
  <c r="X25"/>
  <c r="X26"/>
  <c r="X27"/>
  <c r="X28"/>
  <c r="X29"/>
  <c r="X32"/>
  <c r="X33"/>
  <c r="X34"/>
  <c r="X35"/>
  <c r="X36"/>
  <c r="X39"/>
  <c r="X40"/>
  <c r="X5"/>
  <c r="X6"/>
  <c r="X7"/>
  <c r="X8"/>
  <c r="X4"/>
  <c r="V47"/>
  <c r="V48"/>
  <c r="V49"/>
  <c r="V50"/>
  <c r="V51"/>
  <c r="V54"/>
  <c r="Y54" s="1"/>
  <c r="W54"/>
  <c r="Z54" s="1"/>
  <c r="V55"/>
  <c r="Y55" s="1"/>
  <c r="W55"/>
  <c r="Z55" s="1"/>
  <c r="V56"/>
  <c r="Y56" s="1"/>
  <c r="W56"/>
  <c r="Z56" s="1"/>
  <c r="V57"/>
  <c r="Y57" s="1"/>
  <c r="W57"/>
  <c r="Z57" s="1"/>
  <c r="V58"/>
  <c r="Y58" s="1"/>
  <c r="W58"/>
  <c r="Z58" s="1"/>
  <c r="V59"/>
  <c r="Y59" s="1"/>
  <c r="W59"/>
  <c r="Z59" s="1"/>
  <c r="V60"/>
  <c r="Y60" s="1"/>
  <c r="W60"/>
  <c r="Z60" s="1"/>
  <c r="V61"/>
  <c r="Y61" s="1"/>
  <c r="W61"/>
  <c r="Z61" s="1"/>
  <c r="V62"/>
  <c r="Y62" s="1"/>
  <c r="W62"/>
  <c r="Z62" s="1"/>
  <c r="V63"/>
  <c r="Y63" s="1"/>
  <c r="W63"/>
  <c r="Z63" s="1"/>
  <c r="V64"/>
  <c r="Y64" s="1"/>
  <c r="W64"/>
  <c r="Z64" s="1"/>
  <c r="V67"/>
  <c r="Y67" s="1"/>
  <c r="W67"/>
  <c r="Z67" s="1"/>
  <c r="V46"/>
  <c r="Y46" s="1"/>
  <c r="V39"/>
  <c r="Y39" s="1"/>
  <c r="W39"/>
  <c r="Z39" s="1"/>
  <c r="V40"/>
  <c r="Y40" s="1"/>
  <c r="W40"/>
  <c r="Z40" s="1"/>
  <c r="V41"/>
  <c r="Y41" s="1"/>
  <c r="W41"/>
  <c r="Z41" s="1"/>
  <c r="V42"/>
  <c r="Y42" s="1"/>
  <c r="W42"/>
  <c r="Z42" s="1"/>
  <c r="V43"/>
  <c r="Y43" s="1"/>
  <c r="W43"/>
  <c r="Z43" s="1"/>
  <c r="V32"/>
  <c r="Y32" s="1"/>
  <c r="W32"/>
  <c r="Z32" s="1"/>
  <c r="V33"/>
  <c r="Y33" s="1"/>
  <c r="W33"/>
  <c r="Z33" s="1"/>
  <c r="V34"/>
  <c r="Y34" s="1"/>
  <c r="W34"/>
  <c r="Z34" s="1"/>
  <c r="V35"/>
  <c r="Y35" s="1"/>
  <c r="W35"/>
  <c r="Z35" s="1"/>
  <c r="V36"/>
  <c r="Y36" s="1"/>
  <c r="W36"/>
  <c r="Z36" s="1"/>
  <c r="V25"/>
  <c r="Y25" s="1"/>
  <c r="W25"/>
  <c r="Z25" s="1"/>
  <c r="V26"/>
  <c r="Y26" s="1"/>
  <c r="W26"/>
  <c r="Z26" s="1"/>
  <c r="V27"/>
  <c r="Y27" s="1"/>
  <c r="W27"/>
  <c r="Z27" s="1"/>
  <c r="V28"/>
  <c r="Y28" s="1"/>
  <c r="W28"/>
  <c r="Z28" s="1"/>
  <c r="V29"/>
  <c r="Y29" s="1"/>
  <c r="W29"/>
  <c r="Z29" s="1"/>
  <c r="V18"/>
  <c r="Y18" s="1"/>
  <c r="W18"/>
  <c r="Z18" s="1"/>
  <c r="V19"/>
  <c r="Y19" s="1"/>
  <c r="W19"/>
  <c r="Z19" s="1"/>
  <c r="V20"/>
  <c r="Y20" s="1"/>
  <c r="W20"/>
  <c r="Z20" s="1"/>
  <c r="V21"/>
  <c r="Y21" s="1"/>
  <c r="W21"/>
  <c r="Z21" s="1"/>
  <c r="V22"/>
  <c r="Y22" s="1"/>
  <c r="W22"/>
  <c r="Z22" s="1"/>
  <c r="V11"/>
  <c r="Y11" s="1"/>
  <c r="W11"/>
  <c r="Z11" s="1"/>
  <c r="V12"/>
  <c r="Y12" s="1"/>
  <c r="W12"/>
  <c r="Z12" s="1"/>
  <c r="V13"/>
  <c r="Y13" s="1"/>
  <c r="W13"/>
  <c r="Z13" s="1"/>
  <c r="V14"/>
  <c r="Y14" s="1"/>
  <c r="W14"/>
  <c r="Z14" s="1"/>
  <c r="V15"/>
  <c r="Y15" s="1"/>
  <c r="W15"/>
  <c r="Z15" s="1"/>
  <c r="V10"/>
  <c r="Y10" s="1"/>
  <c r="W10"/>
  <c r="Z10" s="1"/>
  <c r="V5"/>
  <c r="Y5" s="1"/>
  <c r="W5"/>
  <c r="Z5" s="1"/>
  <c r="V6"/>
  <c r="Y6" s="1"/>
  <c r="W6"/>
  <c r="Z6" s="1"/>
  <c r="V7"/>
  <c r="Y7" s="1"/>
  <c r="W7"/>
  <c r="Z7" s="1"/>
  <c r="V8"/>
  <c r="Y8" s="1"/>
  <c r="W8"/>
  <c r="Z8" s="1"/>
  <c r="G68"/>
  <c r="H68"/>
  <c r="G69"/>
  <c r="H69"/>
  <c r="G70"/>
  <c r="H70"/>
  <c r="G71"/>
  <c r="H71"/>
  <c r="G72"/>
  <c r="H72"/>
  <c r="G73"/>
  <c r="H73"/>
  <c r="G74"/>
  <c r="H74"/>
  <c r="G75"/>
  <c r="H75"/>
  <c r="G76"/>
  <c r="H76"/>
  <c r="G77"/>
  <c r="H77"/>
  <c r="G55"/>
  <c r="H55"/>
  <c r="G56"/>
  <c r="H56"/>
  <c r="G57"/>
  <c r="H57"/>
  <c r="G58"/>
  <c r="H58"/>
  <c r="G59"/>
  <c r="H59"/>
  <c r="G60"/>
  <c r="H60"/>
  <c r="G61"/>
  <c r="H61"/>
  <c r="G62"/>
  <c r="H62"/>
  <c r="G63"/>
  <c r="H63"/>
  <c r="G64"/>
  <c r="H64"/>
  <c r="G47"/>
  <c r="H47"/>
  <c r="G48"/>
  <c r="H48"/>
  <c r="G49"/>
  <c r="H49"/>
  <c r="G50"/>
  <c r="H50"/>
  <c r="G51"/>
  <c r="H51"/>
  <c r="G43"/>
  <c r="H43"/>
  <c r="G40"/>
  <c r="H40"/>
  <c r="G36"/>
  <c r="H36"/>
  <c r="G33"/>
  <c r="H33"/>
  <c r="G26"/>
  <c r="H26"/>
  <c r="G27"/>
  <c r="H27"/>
  <c r="G28"/>
  <c r="H28"/>
  <c r="G29"/>
  <c r="H29"/>
  <c r="G19"/>
  <c r="H19"/>
  <c r="G20"/>
  <c r="H20"/>
  <c r="G21"/>
  <c r="H21"/>
  <c r="G22"/>
  <c r="H22"/>
  <c r="G12"/>
  <c r="H12"/>
  <c r="G13"/>
  <c r="H13"/>
  <c r="G14"/>
  <c r="H14"/>
  <c r="G15"/>
  <c r="H15"/>
  <c r="H54"/>
  <c r="G54"/>
  <c r="H46"/>
  <c r="G46"/>
  <c r="H42"/>
  <c r="G42"/>
  <c r="H39"/>
  <c r="G39"/>
  <c r="H35"/>
  <c r="G35"/>
  <c r="H32"/>
  <c r="G32"/>
  <c r="H25"/>
  <c r="G25"/>
  <c r="H18"/>
  <c r="G18"/>
  <c r="H11"/>
  <c r="G11"/>
  <c r="E55"/>
  <c r="E56"/>
  <c r="E57"/>
  <c r="E58"/>
  <c r="E59"/>
  <c r="E60"/>
  <c r="E61"/>
  <c r="E62"/>
  <c r="E63"/>
  <c r="E64"/>
  <c r="E54"/>
  <c r="E47"/>
  <c r="E48"/>
  <c r="E49"/>
  <c r="E50"/>
  <c r="E51"/>
  <c r="E46"/>
  <c r="E43"/>
  <c r="E42"/>
  <c r="E40"/>
  <c r="E36"/>
  <c r="E33"/>
  <c r="E26"/>
  <c r="E27"/>
  <c r="E28"/>
  <c r="E29"/>
  <c r="E19"/>
  <c r="E20"/>
  <c r="E21"/>
  <c r="E22"/>
  <c r="E12"/>
  <c r="E13"/>
  <c r="E14"/>
  <c r="E15"/>
  <c r="E39"/>
  <c r="E35"/>
  <c r="E32"/>
  <c r="E25"/>
  <c r="E18"/>
  <c r="E11"/>
  <c r="E76"/>
  <c r="E77"/>
  <c r="E68"/>
  <c r="E69"/>
  <c r="E70"/>
  <c r="E71"/>
  <c r="E72"/>
  <c r="E73"/>
  <c r="E74"/>
  <c r="E75"/>
  <c r="H67"/>
  <c r="G67"/>
  <c r="G5"/>
  <c r="H5"/>
  <c r="G6"/>
  <c r="H6"/>
  <c r="G7"/>
  <c r="H7"/>
  <c r="G8"/>
  <c r="H8"/>
  <c r="H4"/>
  <c r="G4"/>
  <c r="E4"/>
  <c r="W4"/>
  <c r="Z4" s="1"/>
  <c r="V4"/>
  <c r="Y4" s="1"/>
  <c r="E67"/>
</calcChain>
</file>

<file path=xl/sharedStrings.xml><?xml version="1.0" encoding="utf-8"?>
<sst xmlns="http://schemas.openxmlformats.org/spreadsheetml/2006/main" count="516" uniqueCount="119">
  <si>
    <t>Clicks</t>
  </si>
  <si>
    <t>Impr.</t>
  </si>
  <si>
    <t>CTR</t>
  </si>
  <si>
    <t>Avg. CPM</t>
  </si>
  <si>
    <t>Avg. CPC</t>
  </si>
  <si>
    <t>Cost</t>
  </si>
  <si>
    <t>曝光数</t>
  </si>
  <si>
    <t>点击数</t>
  </si>
  <si>
    <t>点击率</t>
  </si>
  <si>
    <t>支出</t>
  </si>
  <si>
    <t>eCPM</t>
  </si>
  <si>
    <t>转化数</t>
  </si>
  <si>
    <t>销量</t>
  </si>
  <si>
    <t>日期</t>
  </si>
  <si>
    <t>litb</t>
    <phoneticPr fontId="3" type="noConversion"/>
  </si>
  <si>
    <t>mini</t>
    <phoneticPr fontId="3" type="noConversion"/>
  </si>
  <si>
    <t>exchange</t>
  </si>
  <si>
    <t>mini adx new</t>
  </si>
  <si>
    <t>mini adx retargeting</t>
  </si>
  <si>
    <t>mini openx</t>
  </si>
  <si>
    <t>litb adx new</t>
  </si>
  <si>
    <t>litb adx retargeting</t>
  </si>
  <si>
    <t>Invalid Clks</t>
  </si>
  <si>
    <t>winrate</t>
  </si>
  <si>
    <t>Diff</t>
  </si>
  <si>
    <t>2012/10/19-201210/21</t>
  </si>
  <si>
    <t>1）auction log丢失；
2）openx没开</t>
  </si>
  <si>
    <t>1）bidder空间满，满了以后auction log丢失；
2）aws服务器故障；
3）openx投放数为0；</t>
  </si>
  <si>
    <t>tc openx</t>
  </si>
  <si>
    <t>tungsten</t>
    <phoneticPr fontId="3" type="noConversion"/>
  </si>
  <si>
    <t>choies</t>
  </si>
  <si>
    <t>kDMwATM</t>
    <phoneticPr fontId="3" type="noConversion"/>
  </si>
  <si>
    <t>glassesshop</t>
  </si>
  <si>
    <t>account_id</t>
    <phoneticPr fontId="3" type="noConversion"/>
  </si>
  <si>
    <t>choies</t>
    <phoneticPr fontId="3" type="noConversion"/>
  </si>
  <si>
    <t>deal-age</t>
    <phoneticPr fontId="3" type="noConversion"/>
  </si>
  <si>
    <t>conv_tag_id</t>
    <phoneticPr fontId="3" type="noConversion"/>
  </si>
  <si>
    <t>koogul</t>
    <phoneticPr fontId="3" type="noConversion"/>
  </si>
  <si>
    <t>天成</t>
    <phoneticPr fontId="3" type="noConversion"/>
  </si>
  <si>
    <t>Milanoo.com</t>
    <phoneticPr fontId="3" type="noConversion"/>
  </si>
  <si>
    <t>EDMwATM</t>
    <phoneticPr fontId="3" type="noConversion"/>
  </si>
  <si>
    <t>IDMwATM</t>
    <phoneticPr fontId="3" type="noConversion"/>
  </si>
  <si>
    <t>gM</t>
    <phoneticPr fontId="3" type="noConversion"/>
  </si>
  <si>
    <t>QDMwATM</t>
    <phoneticPr fontId="3" type="noConversion"/>
  </si>
  <si>
    <t>MDMwATM</t>
    <phoneticPr fontId="3" type="noConversion"/>
  </si>
  <si>
    <t>UDMwATM</t>
    <phoneticPr fontId="3" type="noConversion"/>
  </si>
  <si>
    <t>cDMwATM</t>
    <phoneticPr fontId="3" type="noConversion"/>
  </si>
  <si>
    <t>gDMwATM</t>
    <phoneticPr fontId="3" type="noConversion"/>
  </si>
  <si>
    <t>efox</t>
    <phoneticPr fontId="3" type="noConversion"/>
  </si>
  <si>
    <t>glassesshop</t>
    <phoneticPr fontId="3" type="noConversion"/>
  </si>
  <si>
    <t>ATMwATM</t>
    <phoneticPr fontId="3" type="noConversion"/>
  </si>
  <si>
    <t>YTMwATM</t>
    <phoneticPr fontId="3" type="noConversion"/>
  </si>
  <si>
    <t>cTMwATM</t>
    <phoneticPr fontId="3" type="noConversion"/>
  </si>
  <si>
    <t>choies adx new</t>
  </si>
  <si>
    <t>glasses adx new</t>
  </si>
  <si>
    <t>deal-age mobile</t>
  </si>
  <si>
    <t>deal-age tablet</t>
  </si>
  <si>
    <t>deal-age retargeting</t>
  </si>
  <si>
    <t>添加dealage，choies和glassesshop</t>
  </si>
  <si>
    <t>Deal-age Mobile</t>
  </si>
  <si>
    <t>Deal-age Retargeting</t>
  </si>
  <si>
    <t>Deal-age Tablet</t>
  </si>
  <si>
    <t>Lightinthebox</t>
  </si>
  <si>
    <t>Lightinthebox retargeting</t>
  </si>
  <si>
    <t>Miniinthebox</t>
  </si>
  <si>
    <t>Miniinthebox retargeting</t>
  </si>
  <si>
    <t>adsvana</t>
  </si>
  <si>
    <t>CPC</t>
  </si>
  <si>
    <t>Imp Diff</t>
  </si>
  <si>
    <t>Clk Diff</t>
  </si>
  <si>
    <t>Cost Diff</t>
  </si>
  <si>
    <t>Imp Diff %</t>
  </si>
  <si>
    <t>Clk Diff %</t>
  </si>
  <si>
    <t>MINI - Apple Accessory</t>
  </si>
  <si>
    <t>TC for all users</t>
  </si>
  <si>
    <t>2012/10/26-10/29</t>
    <phoneticPr fontId="3" type="noConversion"/>
  </si>
  <si>
    <t>choies retargeting</t>
    <phoneticPr fontId="3" type="noConversion"/>
  </si>
  <si>
    <t>glassesshop retargeting</t>
    <phoneticPr fontId="3" type="noConversion"/>
  </si>
  <si>
    <t>29号bidder出价超时多，tracker也有错误</t>
    <phoneticPr fontId="3" type="noConversion"/>
  </si>
  <si>
    <t>UDMwATM</t>
    <phoneticPr fontId="3" type="noConversion"/>
  </si>
  <si>
    <t>3d35a9a4-1f96-11e2-9550-e31087b67a03</t>
  </si>
  <si>
    <t>/1115330151</t>
  </si>
  <si>
    <t>323eb86e-1fab-11e2-9550-e31087b67a03</t>
  </si>
  <si>
    <t>/1115450151</t>
  </si>
  <si>
    <t>68a2fd88-2119-11e2-9550-e31087b67a03</t>
  </si>
  <si>
    <t>/1116240151</t>
  </si>
  <si>
    <t>90f80c22-212a-11e2-b7d5-7ff21e39cf35</t>
  </si>
  <si>
    <t>/1116340151</t>
  </si>
  <si>
    <t>896429f4-213a-11e2-9550-e31087b67a03</t>
  </si>
  <si>
    <t>/1116400151</t>
  </si>
  <si>
    <t>58669e26-2208-11e2-b7d5-7ff21e39cf35</t>
  </si>
  <si>
    <t>ff2c95a4-1f91-11e2-9550-e31087b67a03</t>
  </si>
  <si>
    <t>055ebe28-1eb8-11e2-80b3-afcdb26324f6</t>
  </si>
  <si>
    <t>ae81fff4-2117-11e2-9550-e31087b67a03</t>
  </si>
  <si>
    <t>fcefa560-2121-11e2-b7d5-7ff21e39cf35</t>
  </si>
  <si>
    <t>7f92d722-0c1d-11e2-a24c-eb66f4b47f06</t>
  </si>
  <si>
    <t>7aa5c7c8-21ef-11e2-b7d5-7ff21e39cf35</t>
  </si>
  <si>
    <t>bd33ac46-1eb0-11e2-99b9-a78e7eeb65c2</t>
  </si>
  <si>
    <t>77d8e368-1eb6-11e2-99b9-a78e7eeb65c2</t>
  </si>
  <si>
    <t>/1114550151</t>
    <phoneticPr fontId="3" type="noConversion"/>
  </si>
  <si>
    <t>/1116970151</t>
    <phoneticPr fontId="3" type="noConversion"/>
  </si>
  <si>
    <t>TC for all users whitelist</t>
    <phoneticPr fontId="3" type="noConversion"/>
  </si>
  <si>
    <t>openx mini 没投，openx tc 早上投了2小时</t>
    <phoneticPr fontId="3" type="noConversion"/>
  </si>
  <si>
    <t>ETMwATM</t>
    <phoneticPr fontId="3" type="noConversion"/>
  </si>
  <si>
    <t>YjMwATM</t>
    <phoneticPr fontId="3" type="noConversion"/>
  </si>
  <si>
    <t>FocalPrice</t>
    <phoneticPr fontId="3" type="noConversion"/>
  </si>
  <si>
    <t>choice 300x250和mini的728x90广告disapproved by adx</t>
    <phoneticPr fontId="3" type="noConversion"/>
  </si>
  <si>
    <t>litb adx retargeting</t>
    <phoneticPr fontId="3" type="noConversion"/>
  </si>
  <si>
    <t>litb adx new</t>
    <phoneticPr fontId="3" type="noConversion"/>
  </si>
  <si>
    <t>mini openx</t>
    <phoneticPr fontId="3" type="noConversion"/>
  </si>
  <si>
    <t>mini adx retargeting</t>
    <phoneticPr fontId="3" type="noConversion"/>
  </si>
  <si>
    <t>Deal-age Tablet</t>
    <phoneticPr fontId="3" type="noConversion"/>
  </si>
  <si>
    <t>Deal-age Retargeting</t>
    <phoneticPr fontId="3" type="noConversion"/>
  </si>
  <si>
    <t>Deal-age Mobile</t>
    <phoneticPr fontId="3" type="noConversion"/>
  </si>
  <si>
    <t>choies</t>
    <phoneticPr fontId="3" type="noConversion"/>
  </si>
  <si>
    <t>glassesshop</t>
    <phoneticPr fontId="3" type="noConversion"/>
  </si>
  <si>
    <t>TC for all users</t>
    <phoneticPr fontId="3" type="noConversion"/>
  </si>
  <si>
    <t>MINI - Apple Accessory</t>
    <phoneticPr fontId="3" type="noConversion"/>
  </si>
  <si>
    <t>litb adx new</t>
    <phoneticPr fontId="3" type="noConversion"/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</si>
</sst>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26" formatCode="\$#,##0.00_);[Red]\(\$#,##0.00\)"/>
    <numFmt numFmtId="176" formatCode="#,##0.00_);[Red]\(#,##0.00\)"/>
    <numFmt numFmtId="177" formatCode="_ * #,##0_ ;_ * \-#,##0_ ;_ * &quot;-&quot;??_ ;_ @_ "/>
    <numFmt numFmtId="178" formatCode="0.00_ "/>
  </numFmts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rgb="FF444444"/>
      <name val="Helvetica"/>
      <family val="2"/>
    </font>
    <font>
      <sz val="9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sz val="9"/>
      <color rgb="FF000000"/>
      <name val="Arial"/>
      <family val="2"/>
    </font>
    <font>
      <b/>
      <sz val="10"/>
      <name val="Arial Unicode MS"/>
      <family val="2"/>
      <charset val="134"/>
    </font>
    <font>
      <sz val="10"/>
      <name val="Arial Unicode MS"/>
      <family val="2"/>
      <charset val="134"/>
    </font>
    <font>
      <b/>
      <sz val="11"/>
      <name val="Arial Unicode MS"/>
      <family val="2"/>
      <charset val="134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444444"/>
      <name val="Helvetica"/>
      <family val="2"/>
    </font>
    <font>
      <sz val="10"/>
      <color rgb="FF222222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sz val="10"/>
      <color rgb="FF333333"/>
      <name val="Helvetica"/>
      <family val="2"/>
    </font>
    <font>
      <sz val="10"/>
      <color theme="1"/>
      <name val="宋体"/>
      <family val="2"/>
      <charset val="134"/>
      <scheme val="minor"/>
    </font>
    <font>
      <sz val="10"/>
      <color theme="1"/>
      <name val="Helvetica"/>
      <family val="2"/>
    </font>
    <font>
      <sz val="9"/>
      <color theme="1"/>
      <name val="Arial"/>
      <family val="2"/>
    </font>
    <font>
      <sz val="10"/>
      <color rgb="FF4444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6F6F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6B6B6"/>
      </left>
      <right style="medium">
        <color rgb="FFB6B6B6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6B6B6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26" fontId="0" fillId="0" borderId="0" xfId="0" applyNumberFormat="1">
      <alignment vertical="center"/>
    </xf>
    <xf numFmtId="0" fontId="4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4" fillId="0" borderId="1" xfId="0" applyFont="1" applyBorder="1">
      <alignment vertical="center"/>
    </xf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3" fontId="5" fillId="4" borderId="3" xfId="0" applyNumberFormat="1" applyFont="1" applyFill="1" applyBorder="1" applyAlignment="1">
      <alignment horizontal="right" vertical="top"/>
    </xf>
    <xf numFmtId="0" fontId="0" fillId="0" borderId="0" xfId="0">
      <alignment vertical="center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26" fontId="2" fillId="2" borderId="2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right" vertical="top" wrapText="1"/>
    </xf>
    <xf numFmtId="14" fontId="7" fillId="2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right" vertical="top"/>
    </xf>
    <xf numFmtId="10" fontId="7" fillId="0" borderId="1" xfId="0" applyNumberFormat="1" applyFont="1" applyFill="1" applyBorder="1" applyAlignment="1">
      <alignment horizontal="right" vertical="top"/>
    </xf>
    <xf numFmtId="3" fontId="7" fillId="0" borderId="1" xfId="0" applyNumberFormat="1" applyFont="1" applyFill="1" applyBorder="1" applyAlignment="1">
      <alignment horizontal="right" vertical="top"/>
    </xf>
    <xf numFmtId="3" fontId="7" fillId="0" borderId="1" xfId="0" applyNumberFormat="1" applyFont="1" applyBorder="1">
      <alignment vertical="center"/>
    </xf>
    <xf numFmtId="3" fontId="7" fillId="0" borderId="1" xfId="0" applyNumberFormat="1" applyFont="1" applyFill="1" applyBorder="1" applyAlignment="1">
      <alignment horizontal="right" vertical="top" wrapText="1"/>
    </xf>
    <xf numFmtId="0" fontId="7" fillId="0" borderId="1" xfId="0" applyFont="1" applyFill="1" applyBorder="1" applyAlignment="1">
      <alignment horizontal="right" vertical="top" wrapText="1"/>
    </xf>
    <xf numFmtId="178" fontId="7" fillId="0" borderId="1" xfId="0" applyNumberFormat="1" applyFont="1" applyFill="1" applyBorder="1" applyAlignment="1">
      <alignment horizontal="right" vertical="top"/>
    </xf>
    <xf numFmtId="0" fontId="7" fillId="0" borderId="1" xfId="0" applyFont="1" applyBorder="1">
      <alignment vertical="center"/>
    </xf>
    <xf numFmtId="0" fontId="6" fillId="0" borderId="1" xfId="0" applyFont="1" applyFill="1" applyBorder="1">
      <alignment vertical="center"/>
    </xf>
    <xf numFmtId="0" fontId="8" fillId="0" borderId="0" xfId="0" applyFont="1">
      <alignment vertical="center"/>
    </xf>
    <xf numFmtId="10" fontId="8" fillId="0" borderId="0" xfId="0" applyNumberFormat="1" applyFont="1">
      <alignment vertical="center"/>
    </xf>
    <xf numFmtId="176" fontId="8" fillId="0" borderId="0" xfId="0" applyNumberFormat="1" applyFont="1" applyFill="1" applyBorder="1" applyAlignment="1">
      <alignment horizontal="right" vertical="top" wrapText="1"/>
    </xf>
    <xf numFmtId="178" fontId="8" fillId="0" borderId="0" xfId="0" applyNumberFormat="1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>
      <alignment vertical="center"/>
    </xf>
    <xf numFmtId="26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10" fontId="2" fillId="2" borderId="2" xfId="0" applyNumberFormat="1" applyFont="1" applyFill="1" applyBorder="1" applyAlignment="1">
      <alignment horizontal="right" vertical="center" wrapText="1"/>
    </xf>
    <xf numFmtId="10" fontId="5" fillId="4" borderId="1" xfId="0" applyNumberFormat="1" applyFont="1" applyFill="1" applyBorder="1" applyAlignment="1">
      <alignment horizontal="right" vertical="top"/>
    </xf>
    <xf numFmtId="26" fontId="5" fillId="4" borderId="1" xfId="0" applyNumberFormat="1" applyFont="1" applyFill="1" applyBorder="1" applyAlignment="1">
      <alignment horizontal="right" vertical="top"/>
    </xf>
    <xf numFmtId="3" fontId="7" fillId="0" borderId="5" xfId="0" applyNumberFormat="1" applyFont="1" applyFill="1" applyBorder="1" applyAlignment="1">
      <alignment horizontal="right" vertical="top"/>
    </xf>
    <xf numFmtId="10" fontId="7" fillId="0" borderId="5" xfId="0" applyNumberFormat="1" applyFont="1" applyFill="1" applyBorder="1" applyAlignment="1">
      <alignment horizontal="right" vertical="top"/>
    </xf>
    <xf numFmtId="178" fontId="7" fillId="0" borderId="5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center" wrapText="1"/>
    </xf>
    <xf numFmtId="10" fontId="2" fillId="3" borderId="1" xfId="0" applyNumberFormat="1" applyFont="1" applyFill="1" applyBorder="1" applyAlignment="1">
      <alignment horizontal="right" vertical="center" wrapText="1"/>
    </xf>
    <xf numFmtId="26" fontId="2" fillId="3" borderId="1" xfId="0" applyNumberFormat="1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10" fontId="2" fillId="2" borderId="1" xfId="0" applyNumberFormat="1" applyFont="1" applyFill="1" applyBorder="1" applyAlignment="1">
      <alignment horizontal="right" vertical="center" wrapText="1"/>
    </xf>
    <xf numFmtId="26" fontId="2" fillId="2" borderId="1" xfId="0" applyNumberFormat="1" applyFont="1" applyFill="1" applyBorder="1" applyAlignment="1">
      <alignment horizontal="right" vertical="center" wrapText="1"/>
    </xf>
    <xf numFmtId="26" fontId="2" fillId="0" borderId="1" xfId="0" applyNumberFormat="1" applyFont="1" applyBorder="1">
      <alignment vertical="center"/>
    </xf>
    <xf numFmtId="3" fontId="5" fillId="4" borderId="1" xfId="0" applyNumberFormat="1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right" vertical="top"/>
    </xf>
    <xf numFmtId="3" fontId="5" fillId="2" borderId="1" xfId="0" applyNumberFormat="1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right" vertical="top"/>
    </xf>
    <xf numFmtId="26" fontId="5" fillId="2" borderId="1" xfId="0" applyNumberFormat="1" applyFont="1" applyFill="1" applyBorder="1" applyAlignment="1">
      <alignment horizontal="right" vertical="top"/>
    </xf>
    <xf numFmtId="3" fontId="9" fillId="2" borderId="1" xfId="0" applyNumberFormat="1" applyFont="1" applyFill="1" applyBorder="1" applyAlignment="1">
      <alignment horizontal="right" vertical="top" wrapText="1"/>
    </xf>
    <xf numFmtId="0" fontId="9" fillId="2" borderId="1" xfId="0" applyFont="1" applyFill="1" applyBorder="1" applyAlignment="1">
      <alignment horizontal="right" vertical="top" wrapText="1"/>
    </xf>
    <xf numFmtId="10" fontId="7" fillId="2" borderId="4" xfId="0" applyNumberFormat="1" applyFont="1" applyFill="1" applyBorder="1" applyAlignment="1">
      <alignment vertical="center" wrapText="1"/>
    </xf>
    <xf numFmtId="10" fontId="7" fillId="2" borderId="1" xfId="0" applyNumberFormat="1" applyFont="1" applyFill="1" applyBorder="1" applyAlignment="1">
      <alignment vertical="center" wrapText="1"/>
    </xf>
    <xf numFmtId="10" fontId="2" fillId="0" borderId="1" xfId="0" applyNumberFormat="1" applyFont="1" applyBorder="1">
      <alignment vertical="center"/>
    </xf>
    <xf numFmtId="14" fontId="7" fillId="2" borderId="4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vertical="center" wrapText="1"/>
    </xf>
    <xf numFmtId="3" fontId="10" fillId="0" borderId="1" xfId="0" applyNumberFormat="1" applyFont="1" applyBorder="1">
      <alignment vertical="center"/>
    </xf>
    <xf numFmtId="0" fontId="10" fillId="0" borderId="1" xfId="0" applyFont="1" applyBorder="1">
      <alignment vertical="center"/>
    </xf>
    <xf numFmtId="10" fontId="6" fillId="0" borderId="1" xfId="0" applyNumberFormat="1" applyFont="1" applyFill="1" applyBorder="1" applyAlignment="1">
      <alignment horizontal="right" vertical="top"/>
    </xf>
    <xf numFmtId="26" fontId="10" fillId="0" borderId="1" xfId="0" applyNumberFormat="1" applyFont="1" applyBorder="1">
      <alignment vertical="center"/>
    </xf>
    <xf numFmtId="10" fontId="11" fillId="0" borderId="1" xfId="0" applyNumberFormat="1" applyFont="1" applyBorder="1">
      <alignment vertical="center"/>
    </xf>
    <xf numFmtId="0" fontId="11" fillId="2" borderId="1" xfId="0" applyFont="1" applyFill="1" applyBorder="1" applyAlignment="1">
      <alignment horizontal="right" vertical="center" wrapText="1"/>
    </xf>
    <xf numFmtId="10" fontId="11" fillId="2" borderId="1" xfId="0" applyNumberFormat="1" applyFont="1" applyFill="1" applyBorder="1" applyAlignment="1">
      <alignment horizontal="right" vertical="center" wrapText="1"/>
    </xf>
    <xf numFmtId="26" fontId="11" fillId="2" borderId="1" xfId="0" applyNumberFormat="1" applyFont="1" applyFill="1" applyBorder="1" applyAlignment="1">
      <alignment horizontal="right" vertical="center" wrapText="1"/>
    </xf>
    <xf numFmtId="26" fontId="10" fillId="4" borderId="1" xfId="0" applyNumberFormat="1" applyFont="1" applyFill="1" applyBorder="1" applyAlignment="1">
      <alignment horizontal="right" vertical="top"/>
    </xf>
    <xf numFmtId="3" fontId="6" fillId="0" borderId="1" xfId="0" applyNumberFormat="1" applyFont="1" applyFill="1" applyBorder="1" applyAlignment="1">
      <alignment horizontal="right" vertical="top"/>
    </xf>
    <xf numFmtId="26" fontId="11" fillId="0" borderId="1" xfId="0" applyNumberFormat="1" applyFont="1" applyBorder="1">
      <alignment vertical="center"/>
    </xf>
    <xf numFmtId="14" fontId="6" fillId="2" borderId="1" xfId="0" applyNumberFormat="1" applyFont="1" applyFill="1" applyBorder="1" applyAlignment="1">
      <alignment horizontal="left" vertical="center" wrapText="1"/>
    </xf>
    <xf numFmtId="3" fontId="11" fillId="2" borderId="1" xfId="0" applyNumberFormat="1" applyFont="1" applyFill="1" applyBorder="1" applyAlignment="1">
      <alignment horizontal="right" vertical="center" wrapText="1"/>
    </xf>
    <xf numFmtId="0" fontId="7" fillId="0" borderId="6" xfId="0" applyFont="1" applyFill="1" applyBorder="1" applyAlignment="1">
      <alignment horizontal="right" vertical="top"/>
    </xf>
    <xf numFmtId="0" fontId="7" fillId="0" borderId="5" xfId="0" applyFont="1" applyFill="1" applyBorder="1" applyAlignment="1">
      <alignment horizontal="right" vertical="top"/>
    </xf>
    <xf numFmtId="10" fontId="5" fillId="2" borderId="1" xfId="0" applyNumberFormat="1" applyFont="1" applyFill="1" applyBorder="1" applyAlignment="1">
      <alignment horizontal="right" vertical="top"/>
    </xf>
    <xf numFmtId="3" fontId="5" fillId="2" borderId="3" xfId="0" applyNumberFormat="1" applyFont="1" applyFill="1" applyBorder="1" applyAlignment="1">
      <alignment horizontal="right" vertical="top"/>
    </xf>
    <xf numFmtId="0" fontId="5" fillId="2" borderId="3" xfId="0" applyFont="1" applyFill="1" applyBorder="1" applyAlignment="1">
      <alignment horizontal="right" vertical="top"/>
    </xf>
    <xf numFmtId="26" fontId="5" fillId="2" borderId="3" xfId="0" applyNumberFormat="1" applyFont="1" applyFill="1" applyBorder="1" applyAlignment="1">
      <alignment horizontal="right" vertical="top"/>
    </xf>
    <xf numFmtId="14" fontId="7" fillId="2" borderId="6" xfId="0" applyNumberFormat="1" applyFont="1" applyFill="1" applyBorder="1" applyAlignment="1">
      <alignment horizontal="left" vertical="center" wrapText="1"/>
    </xf>
    <xf numFmtId="14" fontId="7" fillId="2" borderId="8" xfId="0" applyNumberFormat="1" applyFont="1" applyFill="1" applyBorder="1" applyAlignment="1">
      <alignment horizontal="left" vertical="center" wrapText="1"/>
    </xf>
    <xf numFmtId="3" fontId="7" fillId="0" borderId="9" xfId="0" applyNumberFormat="1" applyFont="1" applyFill="1" applyBorder="1" applyAlignment="1">
      <alignment horizontal="right" vertical="top"/>
    </xf>
    <xf numFmtId="0" fontId="7" fillId="0" borderId="9" xfId="0" applyFont="1" applyFill="1" applyBorder="1" applyAlignment="1">
      <alignment horizontal="right" vertical="top"/>
    </xf>
    <xf numFmtId="10" fontId="7" fillId="0" borderId="9" xfId="0" applyNumberFormat="1" applyFont="1" applyFill="1" applyBorder="1" applyAlignment="1">
      <alignment horizontal="right" vertical="top"/>
    </xf>
    <xf numFmtId="178" fontId="7" fillId="0" borderId="9" xfId="0" applyNumberFormat="1" applyFont="1" applyFill="1" applyBorder="1" applyAlignment="1">
      <alignment horizontal="right" vertical="top"/>
    </xf>
    <xf numFmtId="10" fontId="2" fillId="2" borderId="4" xfId="0" applyNumberFormat="1" applyFont="1" applyFill="1" applyBorder="1" applyAlignment="1">
      <alignment horizontal="right" vertical="center" wrapText="1"/>
    </xf>
    <xf numFmtId="10" fontId="2" fillId="3" borderId="4" xfId="0" applyNumberFormat="1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right" vertical="top"/>
    </xf>
    <xf numFmtId="26" fontId="8" fillId="0" borderId="0" xfId="0" applyNumberFormat="1" applyFont="1">
      <alignment vertical="center"/>
    </xf>
    <xf numFmtId="26" fontId="6" fillId="0" borderId="1" xfId="0" applyNumberFormat="1" applyFont="1" applyFill="1" applyBorder="1" applyAlignment="1">
      <alignment horizontal="right" vertical="top" wrapText="1"/>
    </xf>
    <xf numFmtId="26" fontId="7" fillId="0" borderId="5" xfId="0" applyNumberFormat="1" applyFont="1" applyFill="1" applyBorder="1" applyAlignment="1">
      <alignment horizontal="right" vertical="top"/>
    </xf>
    <xf numFmtId="26" fontId="7" fillId="0" borderId="9" xfId="0" applyNumberFormat="1" applyFont="1" applyFill="1" applyBorder="1" applyAlignment="1">
      <alignment horizontal="right" vertical="top"/>
    </xf>
    <xf numFmtId="0" fontId="0" fillId="2" borderId="0" xfId="0" applyFill="1">
      <alignment vertical="center"/>
    </xf>
    <xf numFmtId="0" fontId="15" fillId="0" borderId="0" xfId="0" applyFont="1">
      <alignment vertical="center"/>
    </xf>
    <xf numFmtId="22" fontId="14" fillId="2" borderId="1" xfId="0" applyNumberFormat="1" applyFont="1" applyFill="1" applyBorder="1" applyAlignment="1">
      <alignment vertical="center" wrapText="1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22" fontId="14" fillId="3" borderId="1" xfId="0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22" fontId="14" fillId="0" borderId="1" xfId="0" applyNumberFormat="1" applyFont="1" applyBorder="1">
      <alignment vertical="center"/>
    </xf>
    <xf numFmtId="3" fontId="9" fillId="5" borderId="1" xfId="0" applyNumberFormat="1" applyFont="1" applyFill="1" applyBorder="1" applyAlignment="1">
      <alignment horizontal="right" vertical="top" wrapText="1"/>
    </xf>
    <xf numFmtId="0" fontId="9" fillId="5" borderId="1" xfId="0" applyFont="1" applyFill="1" applyBorder="1" applyAlignment="1">
      <alignment horizontal="right" vertical="top" wrapText="1"/>
    </xf>
    <xf numFmtId="0" fontId="0" fillId="0" borderId="1" xfId="0" applyBorder="1">
      <alignment vertical="center"/>
    </xf>
    <xf numFmtId="3" fontId="2" fillId="2" borderId="5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10" fontId="2" fillId="2" borderId="5" xfId="0" applyNumberFormat="1" applyFont="1" applyFill="1" applyBorder="1" applyAlignment="1">
      <alignment horizontal="right" vertical="center" wrapText="1"/>
    </xf>
    <xf numFmtId="26" fontId="2" fillId="2" borderId="5" xfId="0" applyNumberFormat="1" applyFont="1" applyFill="1" applyBorder="1" applyAlignment="1">
      <alignment horizontal="right" vertical="center" wrapText="1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3" fontId="9" fillId="2" borderId="3" xfId="0" applyNumberFormat="1" applyFont="1" applyFill="1" applyBorder="1" applyAlignment="1">
      <alignment horizontal="right" vertical="top" wrapText="1"/>
    </xf>
    <xf numFmtId="0" fontId="9" fillId="2" borderId="3" xfId="0" applyFont="1" applyFill="1" applyBorder="1" applyAlignment="1">
      <alignment horizontal="right" vertical="top" wrapText="1"/>
    </xf>
    <xf numFmtId="177" fontId="7" fillId="2" borderId="4" xfId="1" applyNumberFormat="1" applyFont="1" applyFill="1" applyBorder="1" applyAlignment="1">
      <alignment horizontal="left" vertical="center" wrapText="1"/>
    </xf>
    <xf numFmtId="3" fontId="16" fillId="2" borderId="1" xfId="0" applyNumberFormat="1" applyFont="1" applyFill="1" applyBorder="1" applyAlignment="1">
      <alignment horizontal="right" vertical="center" wrapText="1"/>
    </xf>
    <xf numFmtId="0" fontId="16" fillId="2" borderId="1" xfId="0" applyFont="1" applyFill="1" applyBorder="1" applyAlignment="1">
      <alignment horizontal="right" vertical="center" wrapText="1"/>
    </xf>
    <xf numFmtId="10" fontId="16" fillId="2" borderId="1" xfId="0" applyNumberFormat="1" applyFont="1" applyFill="1" applyBorder="1" applyAlignment="1">
      <alignment horizontal="right" vertical="center" wrapText="1"/>
    </xf>
    <xf numFmtId="26" fontId="16" fillId="2" borderId="1" xfId="0" applyNumberFormat="1" applyFont="1" applyFill="1" applyBorder="1" applyAlignment="1">
      <alignment horizontal="right" vertical="center" wrapText="1"/>
    </xf>
    <xf numFmtId="3" fontId="16" fillId="3" borderId="1" xfId="0" applyNumberFormat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right" vertical="center" wrapText="1"/>
    </xf>
    <xf numFmtId="10" fontId="16" fillId="3" borderId="1" xfId="0" applyNumberFormat="1" applyFont="1" applyFill="1" applyBorder="1" applyAlignment="1">
      <alignment horizontal="right" vertical="center" wrapText="1"/>
    </xf>
    <xf numFmtId="26" fontId="16" fillId="3" borderId="1" xfId="0" applyNumberFormat="1" applyFont="1" applyFill="1" applyBorder="1" applyAlignment="1">
      <alignment horizontal="right" vertical="center" wrapText="1"/>
    </xf>
    <xf numFmtId="0" fontId="15" fillId="0" borderId="5" xfId="0" applyFont="1" applyBorder="1">
      <alignment vertical="center"/>
    </xf>
    <xf numFmtId="3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26" fontId="5" fillId="0" borderId="1" xfId="0" applyNumberFormat="1" applyFont="1" applyBorder="1" applyAlignment="1">
      <alignment horizontal="right" vertical="top"/>
    </xf>
    <xf numFmtId="3" fontId="5" fillId="2" borderId="3" xfId="0" applyNumberFormat="1" applyFont="1" applyFill="1" applyBorder="1" applyAlignment="1">
      <alignment horizontal="right" vertical="top" wrapText="1"/>
    </xf>
    <xf numFmtId="0" fontId="5" fillId="2" borderId="3" xfId="0" applyFont="1" applyFill="1" applyBorder="1" applyAlignment="1">
      <alignment horizontal="right" vertical="top" wrapText="1"/>
    </xf>
    <xf numFmtId="0" fontId="17" fillId="0" borderId="3" xfId="0" applyFont="1" applyBorder="1">
      <alignment vertical="center"/>
    </xf>
    <xf numFmtId="3" fontId="5" fillId="2" borderId="1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vertical="top" wrapText="1"/>
    </xf>
    <xf numFmtId="0" fontId="17" fillId="0" borderId="1" xfId="0" applyFont="1" applyBorder="1">
      <alignment vertical="center"/>
    </xf>
    <xf numFmtId="3" fontId="5" fillId="5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right" vertical="top" wrapText="1"/>
    </xf>
    <xf numFmtId="10" fontId="18" fillId="0" borderId="0" xfId="0" applyNumberFormat="1" applyFont="1">
      <alignment vertical="center"/>
    </xf>
    <xf numFmtId="26" fontId="18" fillId="0" borderId="0" xfId="0" applyNumberFormat="1" applyFont="1">
      <alignment vertical="center"/>
    </xf>
    <xf numFmtId="3" fontId="7" fillId="0" borderId="4" xfId="0" applyNumberFormat="1" applyFont="1" applyFill="1" applyBorder="1" applyAlignment="1">
      <alignment horizontal="left" vertical="top" wrapText="1"/>
    </xf>
    <xf numFmtId="3" fontId="7" fillId="0" borderId="8" xfId="0" applyNumberFormat="1" applyFont="1" applyFill="1" applyBorder="1" applyAlignment="1">
      <alignment horizontal="left" vertical="top"/>
    </xf>
    <xf numFmtId="3" fontId="7" fillId="0" borderId="6" xfId="0" applyNumberFormat="1" applyFont="1" applyFill="1" applyBorder="1" applyAlignment="1">
      <alignment horizontal="left" vertical="top"/>
    </xf>
    <xf numFmtId="3" fontId="7" fillId="0" borderId="4" xfId="0" applyNumberFormat="1" applyFont="1" applyFill="1" applyBorder="1" applyAlignment="1">
      <alignment horizontal="left" vertical="top"/>
    </xf>
    <xf numFmtId="3" fontId="7" fillId="0" borderId="10" xfId="0" applyNumberFormat="1" applyFont="1" applyFill="1" applyBorder="1" applyAlignment="1">
      <alignment horizontal="left" vertical="top"/>
    </xf>
    <xf numFmtId="3" fontId="7" fillId="0" borderId="11" xfId="0" applyNumberFormat="1" applyFont="1" applyFill="1" applyBorder="1" applyAlignment="1">
      <alignment horizontal="left" vertical="top"/>
    </xf>
    <xf numFmtId="3" fontId="7" fillId="0" borderId="12" xfId="0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173"/>
  <sheetViews>
    <sheetView tabSelected="1" workbookViewId="0">
      <pane xSplit="2" ySplit="2" topLeftCell="C147" activePane="bottomRight" state="frozen"/>
      <selection pane="topRight" activeCell="C1" sqref="C1"/>
      <selection pane="bottomLeft" activeCell="A3" sqref="A3"/>
      <selection pane="bottomRight" activeCell="N146" sqref="N146"/>
    </sheetView>
  </sheetViews>
  <sheetFormatPr defaultRowHeight="13.5"/>
  <cols>
    <col min="1" max="1" width="3.25" customWidth="1"/>
    <col min="2" max="2" width="21.125" bestFit="1" customWidth="1"/>
    <col min="3" max="3" width="8.375" bestFit="1" customWidth="1"/>
    <col min="4" max="5" width="6.75" bestFit="1" customWidth="1"/>
    <col min="6" max="6" width="8.875" bestFit="1" customWidth="1"/>
    <col min="7" max="7" width="5.875" bestFit="1" customWidth="1"/>
    <col min="8" max="8" width="7.5" style="1" customWidth="1"/>
    <col min="9" max="9" width="7" bestFit="1" customWidth="1"/>
    <col min="10" max="10" width="21.125" bestFit="1" customWidth="1"/>
    <col min="11" max="11" width="7.5" bestFit="1" customWidth="1"/>
    <col min="12" max="12" width="8.375" bestFit="1" customWidth="1"/>
    <col min="13" max="14" width="6.75" bestFit="1" customWidth="1"/>
    <col min="15" max="15" width="9.125" bestFit="1" customWidth="1"/>
    <col min="16" max="17" width="7.5" bestFit="1" customWidth="1"/>
    <col min="18" max="18" width="6.75" bestFit="1" customWidth="1"/>
    <col min="19" max="19" width="9.125" bestFit="1" customWidth="1"/>
    <col min="20" max="20" width="3.25" bestFit="1" customWidth="1"/>
    <col min="21" max="21" width="20" customWidth="1"/>
    <col min="22" max="22" width="8.125" bestFit="1" customWidth="1"/>
    <col min="23" max="23" width="7.875" bestFit="1" customWidth="1"/>
    <col min="25" max="25" width="10.375" bestFit="1" customWidth="1"/>
    <col min="26" max="26" width="10.125" bestFit="1" customWidth="1"/>
  </cols>
  <sheetData>
    <row r="1" spans="2:26" ht="16.5">
      <c r="B1" s="57" t="s">
        <v>16</v>
      </c>
      <c r="C1" s="25"/>
      <c r="D1" s="25"/>
      <c r="E1" s="26"/>
      <c r="F1" s="27"/>
      <c r="G1" s="25"/>
      <c r="H1" s="91"/>
      <c r="I1" s="25"/>
      <c r="J1" s="57" t="s">
        <v>66</v>
      </c>
      <c r="K1" s="25"/>
      <c r="L1" s="25"/>
      <c r="M1" s="25"/>
      <c r="N1" s="28"/>
      <c r="O1" s="28"/>
      <c r="P1" s="28"/>
      <c r="Q1" s="25"/>
      <c r="R1" s="28"/>
      <c r="S1" s="25"/>
      <c r="T1" s="25"/>
      <c r="U1" s="57" t="s">
        <v>24</v>
      </c>
      <c r="V1" s="25"/>
      <c r="W1" s="25"/>
      <c r="X1" s="25"/>
      <c r="Y1" s="25"/>
      <c r="Z1" s="25"/>
    </row>
    <row r="2" spans="2:26" ht="30">
      <c r="B2" s="58" t="s">
        <v>13</v>
      </c>
      <c r="C2" s="14" t="s">
        <v>1</v>
      </c>
      <c r="D2" s="14" t="s">
        <v>0</v>
      </c>
      <c r="E2" s="14" t="s">
        <v>2</v>
      </c>
      <c r="F2" s="14" t="s">
        <v>5</v>
      </c>
      <c r="G2" s="14" t="s">
        <v>3</v>
      </c>
      <c r="H2" s="92" t="s">
        <v>4</v>
      </c>
      <c r="I2" s="14" t="s">
        <v>22</v>
      </c>
      <c r="J2" s="58" t="s">
        <v>13</v>
      </c>
      <c r="K2" s="29" t="s">
        <v>23</v>
      </c>
      <c r="L2" s="29" t="s">
        <v>6</v>
      </c>
      <c r="M2" s="29" t="s">
        <v>7</v>
      </c>
      <c r="N2" s="29" t="s">
        <v>8</v>
      </c>
      <c r="O2" s="29" t="s">
        <v>9</v>
      </c>
      <c r="P2" s="29" t="s">
        <v>10</v>
      </c>
      <c r="Q2" s="29" t="s">
        <v>67</v>
      </c>
      <c r="R2" s="29" t="s">
        <v>11</v>
      </c>
      <c r="S2" s="29" t="s">
        <v>12</v>
      </c>
      <c r="T2" s="29"/>
      <c r="U2" s="58" t="s">
        <v>13</v>
      </c>
      <c r="V2" s="24" t="s">
        <v>68</v>
      </c>
      <c r="W2" s="24" t="s">
        <v>69</v>
      </c>
      <c r="X2" s="24" t="s">
        <v>70</v>
      </c>
      <c r="Y2" s="24" t="s">
        <v>71</v>
      </c>
      <c r="Z2" s="24" t="s">
        <v>72</v>
      </c>
    </row>
    <row r="3" spans="2:26" ht="15">
      <c r="B3" s="71">
        <v>41197</v>
      </c>
      <c r="C3" s="14"/>
      <c r="D3" s="14"/>
      <c r="E3" s="14"/>
      <c r="F3" s="14"/>
      <c r="G3" s="14"/>
      <c r="H3" s="92"/>
      <c r="I3" s="14"/>
      <c r="J3" s="71">
        <v>41197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71">
        <v>41197</v>
      </c>
      <c r="V3" s="24"/>
      <c r="W3" s="24"/>
      <c r="X3" s="24"/>
      <c r="Y3" s="24"/>
      <c r="Z3" s="24"/>
    </row>
    <row r="4" spans="2:26" ht="15">
      <c r="B4" s="59" t="s">
        <v>17</v>
      </c>
      <c r="C4" s="46">
        <v>5730</v>
      </c>
      <c r="D4" s="47">
        <v>0</v>
      </c>
      <c r="E4" s="34">
        <f>D4/C4</f>
        <v>0</v>
      </c>
      <c r="F4" s="35">
        <v>1.23</v>
      </c>
      <c r="G4" s="35">
        <f>F4/C4*1000</f>
        <v>0.21465968586387435</v>
      </c>
      <c r="H4" s="35" t="e">
        <f>F4/D4</f>
        <v>#DIV/0!</v>
      </c>
      <c r="I4" s="47">
        <v>2</v>
      </c>
      <c r="J4" s="59" t="s">
        <v>17</v>
      </c>
      <c r="K4" s="54">
        <v>5.9999999999999995E-4</v>
      </c>
      <c r="L4" s="42">
        <v>5294</v>
      </c>
      <c r="M4" s="12">
        <v>2</v>
      </c>
      <c r="N4" s="43">
        <v>4.0000000000000002E-4</v>
      </c>
      <c r="O4" s="44">
        <v>1.1399999999999999</v>
      </c>
      <c r="P4" s="44">
        <v>0.22</v>
      </c>
      <c r="Q4" s="44">
        <v>0.56999999999999995</v>
      </c>
      <c r="R4" s="12">
        <v>0</v>
      </c>
      <c r="S4" s="44">
        <v>0</v>
      </c>
      <c r="T4" s="12"/>
      <c r="U4" s="59" t="s">
        <v>17</v>
      </c>
      <c r="V4" s="19">
        <f>C4-L4</f>
        <v>436</v>
      </c>
      <c r="W4" s="19">
        <f>D4+I4-M4</f>
        <v>0</v>
      </c>
      <c r="X4" s="44">
        <f>F4-O4</f>
        <v>9.000000000000008E-2</v>
      </c>
      <c r="Y4" s="17">
        <f>V4/C4</f>
        <v>7.6090750436300175E-2</v>
      </c>
      <c r="Z4" s="17" t="e">
        <f>W4/D4</f>
        <v>#DIV/0!</v>
      </c>
    </row>
    <row r="5" spans="2:26" ht="15">
      <c r="B5" s="59" t="s">
        <v>18</v>
      </c>
      <c r="C5" s="46">
        <v>10466</v>
      </c>
      <c r="D5" s="47">
        <v>4</v>
      </c>
      <c r="E5" s="34">
        <v>4.0000000000000002E-4</v>
      </c>
      <c r="F5" s="35">
        <v>17.2</v>
      </c>
      <c r="G5" s="35">
        <f t="shared" ref="G5:G8" si="0">F5/C5*1000</f>
        <v>1.6434167781387348</v>
      </c>
      <c r="H5" s="35">
        <f t="shared" ref="H5:H8" si="1">F5/D5</f>
        <v>4.3</v>
      </c>
      <c r="I5" s="47"/>
      <c r="J5" s="59" t="s">
        <v>18</v>
      </c>
      <c r="K5" s="55">
        <v>1.8E-3</v>
      </c>
      <c r="L5" s="39">
        <v>10151</v>
      </c>
      <c r="M5" s="13">
        <v>4</v>
      </c>
      <c r="N5" s="40">
        <v>4.0000000000000002E-4</v>
      </c>
      <c r="O5" s="41">
        <v>16.850000000000001</v>
      </c>
      <c r="P5" s="41">
        <v>1.66</v>
      </c>
      <c r="Q5" s="41">
        <v>4.21</v>
      </c>
      <c r="R5" s="13">
        <v>1</v>
      </c>
      <c r="S5" s="41">
        <v>44.61</v>
      </c>
      <c r="T5" s="13"/>
      <c r="U5" s="59" t="s">
        <v>18</v>
      </c>
      <c r="V5" s="19">
        <f t="shared" ref="V5:V8" si="2">C5-L5</f>
        <v>315</v>
      </c>
      <c r="W5" s="19">
        <f t="shared" ref="W5:W8" si="3">D5+I5-M5</f>
        <v>0</v>
      </c>
      <c r="X5" s="44">
        <f t="shared" ref="X5:X67" si="4">F5-O5</f>
        <v>0.34999999999999787</v>
      </c>
      <c r="Y5" s="17">
        <f t="shared" ref="Y5:Y8" si="5">V5/C5</f>
        <v>3.0097458436843111E-2</v>
      </c>
      <c r="Z5" s="17">
        <f t="shared" ref="Z5:Z8" si="6">W5/D5</f>
        <v>0</v>
      </c>
    </row>
    <row r="6" spans="2:26" ht="15">
      <c r="B6" s="59" t="s">
        <v>19</v>
      </c>
      <c r="C6" s="20">
        <v>27349</v>
      </c>
      <c r="D6" s="21">
        <v>2</v>
      </c>
      <c r="E6" s="34">
        <v>1E-4</v>
      </c>
      <c r="F6" s="31">
        <v>4.62</v>
      </c>
      <c r="G6" s="35">
        <f t="shared" si="0"/>
        <v>0.16892756590734578</v>
      </c>
      <c r="H6" s="35">
        <f t="shared" si="1"/>
        <v>2.31</v>
      </c>
      <c r="I6" s="21"/>
      <c r="J6" s="59" t="s">
        <v>19</v>
      </c>
      <c r="K6" s="54">
        <v>3.5999999999999999E-3</v>
      </c>
      <c r="L6" s="42">
        <v>11756</v>
      </c>
      <c r="M6" s="12">
        <v>1</v>
      </c>
      <c r="N6" s="43">
        <v>1E-4</v>
      </c>
      <c r="O6" s="44">
        <v>1.98</v>
      </c>
      <c r="P6" s="44">
        <v>0.17</v>
      </c>
      <c r="Q6" s="44">
        <v>1.98</v>
      </c>
      <c r="R6" s="12">
        <v>1</v>
      </c>
      <c r="S6" s="44">
        <v>6.08</v>
      </c>
      <c r="T6" s="12"/>
      <c r="U6" s="59" t="s">
        <v>19</v>
      </c>
      <c r="V6" s="19">
        <f t="shared" si="2"/>
        <v>15593</v>
      </c>
      <c r="W6" s="19">
        <f t="shared" si="3"/>
        <v>1</v>
      </c>
      <c r="X6" s="44">
        <f t="shared" si="4"/>
        <v>2.64</v>
      </c>
      <c r="Y6" s="17">
        <f t="shared" si="5"/>
        <v>0.57014881714139454</v>
      </c>
      <c r="Z6" s="17">
        <f t="shared" si="6"/>
        <v>0.5</v>
      </c>
    </row>
    <row r="7" spans="2:26" ht="15">
      <c r="B7" s="59" t="s">
        <v>118</v>
      </c>
      <c r="C7" s="30">
        <v>1303</v>
      </c>
      <c r="D7" s="16">
        <v>0</v>
      </c>
      <c r="E7" s="17">
        <v>0</v>
      </c>
      <c r="F7" s="31">
        <v>0.27</v>
      </c>
      <c r="G7" s="35">
        <f t="shared" si="0"/>
        <v>0.20721412125863395</v>
      </c>
      <c r="H7" s="35" t="e">
        <f t="shared" si="1"/>
        <v>#DIV/0!</v>
      </c>
      <c r="I7" s="16"/>
      <c r="J7" s="59" t="s">
        <v>20</v>
      </c>
      <c r="K7" s="55">
        <v>0</v>
      </c>
      <c r="L7" s="39">
        <v>1311</v>
      </c>
      <c r="M7" s="13">
        <v>0</v>
      </c>
      <c r="N7" s="40">
        <v>0</v>
      </c>
      <c r="O7" s="41">
        <v>0.27</v>
      </c>
      <c r="P7" s="41">
        <v>0.21</v>
      </c>
      <c r="Q7" s="41">
        <v>0</v>
      </c>
      <c r="R7" s="13">
        <v>0</v>
      </c>
      <c r="S7" s="41">
        <v>0</v>
      </c>
      <c r="T7" s="13"/>
      <c r="U7" s="59" t="s">
        <v>20</v>
      </c>
      <c r="V7" s="19">
        <f t="shared" si="2"/>
        <v>-8</v>
      </c>
      <c r="W7" s="19">
        <f t="shared" si="3"/>
        <v>0</v>
      </c>
      <c r="X7" s="44">
        <f t="shared" si="4"/>
        <v>0</v>
      </c>
      <c r="Y7" s="17">
        <f t="shared" si="5"/>
        <v>-6.1396776669224865E-3</v>
      </c>
      <c r="Z7" s="17" t="e">
        <f t="shared" si="6"/>
        <v>#DIV/0!</v>
      </c>
    </row>
    <row r="8" spans="2:26" ht="15">
      <c r="B8" s="59" t="s">
        <v>21</v>
      </c>
      <c r="C8" s="30">
        <v>57589</v>
      </c>
      <c r="D8" s="32">
        <v>24</v>
      </c>
      <c r="E8" s="17">
        <v>4.1674625362482417E-4</v>
      </c>
      <c r="F8" s="31">
        <v>51.11</v>
      </c>
      <c r="G8" s="35">
        <f t="shared" si="0"/>
        <v>0.88749587594853174</v>
      </c>
      <c r="H8" s="35">
        <f t="shared" si="1"/>
        <v>2.1295833333333332</v>
      </c>
      <c r="I8" s="32"/>
      <c r="J8" s="59" t="s">
        <v>21</v>
      </c>
      <c r="K8" s="55">
        <v>4.0000000000000002E-4</v>
      </c>
      <c r="L8" s="42">
        <v>57510</v>
      </c>
      <c r="M8" s="12">
        <v>24</v>
      </c>
      <c r="N8" s="43">
        <v>4.0000000000000002E-4</v>
      </c>
      <c r="O8" s="44">
        <v>51.02</v>
      </c>
      <c r="P8" s="44">
        <v>0.89</v>
      </c>
      <c r="Q8" s="44">
        <v>2.13</v>
      </c>
      <c r="R8" s="12">
        <v>8</v>
      </c>
      <c r="S8" s="44">
        <v>812.4</v>
      </c>
      <c r="T8" s="12"/>
      <c r="U8" s="59" t="s">
        <v>21</v>
      </c>
      <c r="V8" s="19">
        <f t="shared" si="2"/>
        <v>79</v>
      </c>
      <c r="W8" s="19">
        <f t="shared" si="3"/>
        <v>0</v>
      </c>
      <c r="X8" s="44">
        <f t="shared" si="4"/>
        <v>8.9999999999996305E-2</v>
      </c>
      <c r="Y8" s="17">
        <f t="shared" si="5"/>
        <v>1.3717897515150464E-3</v>
      </c>
      <c r="Z8" s="17">
        <f t="shared" si="6"/>
        <v>0</v>
      </c>
    </row>
    <row r="9" spans="2:26" s="8" customFormat="1" ht="15">
      <c r="B9" s="59"/>
      <c r="C9" s="30">
        <f t="shared" ref="C9:F9" si="7">SUM(C4:C8)</f>
        <v>102437</v>
      </c>
      <c r="D9" s="30">
        <f t="shared" si="7"/>
        <v>30</v>
      </c>
      <c r="E9" s="17"/>
      <c r="F9" s="44">
        <f t="shared" si="7"/>
        <v>74.430000000000007</v>
      </c>
      <c r="G9" s="35"/>
      <c r="H9" s="35"/>
      <c r="I9" s="32"/>
      <c r="J9" s="59"/>
      <c r="K9" s="55"/>
      <c r="L9" s="30">
        <f t="shared" ref="L9:O9" si="8">SUM(L4:L8)</f>
        <v>86022</v>
      </c>
      <c r="M9" s="30">
        <f t="shared" si="8"/>
        <v>31</v>
      </c>
      <c r="N9" s="43"/>
      <c r="O9" s="44">
        <f t="shared" si="8"/>
        <v>71.260000000000005</v>
      </c>
      <c r="P9" s="44"/>
      <c r="Q9" s="44"/>
      <c r="R9" s="12"/>
      <c r="S9" s="44"/>
      <c r="T9" s="12"/>
      <c r="U9" s="59"/>
      <c r="V9" s="19"/>
      <c r="W9" s="19"/>
      <c r="X9" s="44"/>
      <c r="Y9" s="17"/>
      <c r="Z9" s="17"/>
    </row>
    <row r="10" spans="2:26" ht="15">
      <c r="B10" s="71">
        <v>41198</v>
      </c>
      <c r="C10" s="60"/>
      <c r="D10" s="61"/>
      <c r="E10" s="62"/>
      <c r="F10" s="63"/>
      <c r="G10" s="63"/>
      <c r="H10" s="63"/>
      <c r="I10" s="61"/>
      <c r="J10" s="71">
        <v>41198</v>
      </c>
      <c r="K10" s="64"/>
      <c r="L10" s="72"/>
      <c r="M10" s="65"/>
      <c r="N10" s="66"/>
      <c r="O10" s="67"/>
      <c r="P10" s="67"/>
      <c r="Q10" s="67"/>
      <c r="R10" s="65"/>
      <c r="S10" s="67"/>
      <c r="T10" s="65"/>
      <c r="U10" s="71">
        <v>41198</v>
      </c>
      <c r="V10" s="19">
        <f>C10-L10</f>
        <v>0</v>
      </c>
      <c r="W10" s="19">
        <f>D10+I10-M10</f>
        <v>0</v>
      </c>
      <c r="X10" s="44">
        <f t="shared" si="4"/>
        <v>0</v>
      </c>
      <c r="Y10" s="17" t="e">
        <f>V10/C10</f>
        <v>#DIV/0!</v>
      </c>
      <c r="Z10" s="17" t="e">
        <f>W10/D10</f>
        <v>#DIV/0!</v>
      </c>
    </row>
    <row r="11" spans="2:26" ht="15">
      <c r="B11" s="59" t="s">
        <v>17</v>
      </c>
      <c r="C11" s="46">
        <v>187054</v>
      </c>
      <c r="D11" s="47">
        <v>27</v>
      </c>
      <c r="E11" s="34">
        <f>D11/C11</f>
        <v>1.4434334470259924E-4</v>
      </c>
      <c r="F11" s="35">
        <v>44.17</v>
      </c>
      <c r="G11" s="35">
        <f t="shared" ref="G11" si="9">F11/C11*1000</f>
        <v>0.23613501983384477</v>
      </c>
      <c r="H11" s="35">
        <f t="shared" ref="H11" si="10">F11/D11</f>
        <v>1.635925925925926</v>
      </c>
      <c r="I11" s="47">
        <v>27</v>
      </c>
      <c r="J11" s="59" t="s">
        <v>17</v>
      </c>
      <c r="K11" s="54">
        <v>2.29E-2</v>
      </c>
      <c r="L11" s="42">
        <v>182005</v>
      </c>
      <c r="M11" s="12">
        <v>52</v>
      </c>
      <c r="N11" s="43">
        <v>2.9999999999999997E-4</v>
      </c>
      <c r="O11" s="44">
        <v>43.06</v>
      </c>
      <c r="P11" s="44">
        <v>0.24</v>
      </c>
      <c r="Q11" s="44">
        <v>0.83</v>
      </c>
      <c r="R11" s="12">
        <v>0</v>
      </c>
      <c r="S11" s="44">
        <v>0</v>
      </c>
      <c r="T11" s="12"/>
      <c r="U11" s="59" t="s">
        <v>17</v>
      </c>
      <c r="V11" s="19">
        <f>C11-L11</f>
        <v>5049</v>
      </c>
      <c r="W11" s="19">
        <f>D11+I11-M11</f>
        <v>2</v>
      </c>
      <c r="X11" s="44">
        <f t="shared" si="4"/>
        <v>1.1099999999999994</v>
      </c>
      <c r="Y11" s="17">
        <f>V11/C11</f>
        <v>2.6992205459386059E-2</v>
      </c>
      <c r="Z11" s="17">
        <f>W11/D11</f>
        <v>7.407407407407407E-2</v>
      </c>
    </row>
    <row r="12" spans="2:26" ht="15">
      <c r="B12" s="59" t="s">
        <v>110</v>
      </c>
      <c r="C12" s="46">
        <v>30902</v>
      </c>
      <c r="D12" s="47">
        <v>10</v>
      </c>
      <c r="E12" s="34">
        <f t="shared" ref="E12:E15" si="11">D12/C12</f>
        <v>3.2360365024917482E-4</v>
      </c>
      <c r="F12" s="35">
        <v>54.13</v>
      </c>
      <c r="G12" s="35">
        <f t="shared" ref="G12:G15" si="12">F12/C12*1000</f>
        <v>1.7516665587987834</v>
      </c>
      <c r="H12" s="35">
        <f t="shared" ref="H12:H15" si="13">F12/D12</f>
        <v>5.4130000000000003</v>
      </c>
      <c r="I12" s="47"/>
      <c r="J12" s="59" t="s">
        <v>18</v>
      </c>
      <c r="K12" s="55">
        <v>0.15210000000000001</v>
      </c>
      <c r="L12" s="39">
        <v>29616</v>
      </c>
      <c r="M12" s="13">
        <v>10</v>
      </c>
      <c r="N12" s="40">
        <v>2.9999999999999997E-4</v>
      </c>
      <c r="O12" s="41">
        <v>52.37</v>
      </c>
      <c r="P12" s="41">
        <v>1.77</v>
      </c>
      <c r="Q12" s="41">
        <v>5.24</v>
      </c>
      <c r="R12" s="13">
        <v>2</v>
      </c>
      <c r="S12" s="41">
        <v>21.42</v>
      </c>
      <c r="T12" s="13"/>
      <c r="U12" s="59" t="s">
        <v>18</v>
      </c>
      <c r="V12" s="19">
        <f t="shared" ref="V12:V15" si="14">C12-L12</f>
        <v>1286</v>
      </c>
      <c r="W12" s="19">
        <f t="shared" ref="W12:W15" si="15">D12+I12-M12</f>
        <v>0</v>
      </c>
      <c r="X12" s="44">
        <f t="shared" si="4"/>
        <v>1.7600000000000051</v>
      </c>
      <c r="Y12" s="17">
        <f t="shared" ref="Y12:Y15" si="16">V12/C12</f>
        <v>4.1615429422043881E-2</v>
      </c>
      <c r="Z12" s="17">
        <f t="shared" ref="Z12:Z15" si="17">W12/D12</f>
        <v>0</v>
      </c>
    </row>
    <row r="13" spans="2:26" ht="15">
      <c r="B13" s="59" t="s">
        <v>109</v>
      </c>
      <c r="C13" s="20">
        <v>59041</v>
      </c>
      <c r="D13" s="23">
        <v>11</v>
      </c>
      <c r="E13" s="34">
        <f t="shared" si="11"/>
        <v>1.863112074659982E-4</v>
      </c>
      <c r="F13" s="31">
        <v>15.03</v>
      </c>
      <c r="G13" s="35">
        <f t="shared" si="12"/>
        <v>0.2545688589285412</v>
      </c>
      <c r="H13" s="35">
        <f t="shared" si="13"/>
        <v>1.3663636363636362</v>
      </c>
      <c r="I13" s="23"/>
      <c r="J13" s="59" t="s">
        <v>19</v>
      </c>
      <c r="K13" s="54">
        <v>0.31929999999999997</v>
      </c>
      <c r="L13" s="42">
        <v>58328</v>
      </c>
      <c r="M13" s="12">
        <v>13</v>
      </c>
      <c r="N13" s="43">
        <v>2.0000000000000001E-4</v>
      </c>
      <c r="O13" s="44">
        <v>14.94</v>
      </c>
      <c r="P13" s="44">
        <v>0.26</v>
      </c>
      <c r="Q13" s="44">
        <v>1.1499999999999999</v>
      </c>
      <c r="R13" s="12">
        <v>1</v>
      </c>
      <c r="S13" s="44">
        <v>17.45</v>
      </c>
      <c r="T13" s="12"/>
      <c r="U13" s="59" t="s">
        <v>19</v>
      </c>
      <c r="V13" s="19">
        <f t="shared" si="14"/>
        <v>713</v>
      </c>
      <c r="W13" s="19">
        <f t="shared" si="15"/>
        <v>-2</v>
      </c>
      <c r="X13" s="44">
        <f t="shared" si="4"/>
        <v>8.9999999999999858E-2</v>
      </c>
      <c r="Y13" s="17">
        <f t="shared" si="16"/>
        <v>1.2076353720296066E-2</v>
      </c>
      <c r="Z13" s="17">
        <f t="shared" si="17"/>
        <v>-0.18181818181818182</v>
      </c>
    </row>
    <row r="14" spans="2:26" ht="15">
      <c r="B14" s="59" t="s">
        <v>108</v>
      </c>
      <c r="C14" s="30">
        <v>133276</v>
      </c>
      <c r="D14" s="30">
        <v>30</v>
      </c>
      <c r="E14" s="34">
        <f t="shared" si="11"/>
        <v>2.2509679162039677E-4</v>
      </c>
      <c r="F14" s="31">
        <v>33.11</v>
      </c>
      <c r="G14" s="35">
        <f t="shared" si="12"/>
        <v>0.24843182568504454</v>
      </c>
      <c r="H14" s="35">
        <f t="shared" si="13"/>
        <v>1.1036666666666666</v>
      </c>
      <c r="I14" s="30">
        <v>3</v>
      </c>
      <c r="J14" s="59" t="s">
        <v>20</v>
      </c>
      <c r="K14" s="55">
        <v>9.7999999999999997E-3</v>
      </c>
      <c r="L14" s="39">
        <v>130272</v>
      </c>
      <c r="M14" s="13">
        <v>31</v>
      </c>
      <c r="N14" s="40">
        <v>2.0000000000000001E-4</v>
      </c>
      <c r="O14" s="41">
        <v>32.28</v>
      </c>
      <c r="P14" s="41">
        <v>0.25</v>
      </c>
      <c r="Q14" s="41">
        <v>1.04</v>
      </c>
      <c r="R14" s="13">
        <v>1</v>
      </c>
      <c r="S14" s="41">
        <v>129.99</v>
      </c>
      <c r="T14" s="13"/>
      <c r="U14" s="59" t="s">
        <v>20</v>
      </c>
      <c r="V14" s="19">
        <f t="shared" si="14"/>
        <v>3004</v>
      </c>
      <c r="W14" s="19">
        <f t="shared" si="15"/>
        <v>2</v>
      </c>
      <c r="X14" s="44">
        <f t="shared" si="4"/>
        <v>0.82999999999999829</v>
      </c>
      <c r="Y14" s="17">
        <f t="shared" si="16"/>
        <v>2.2539692067589063E-2</v>
      </c>
      <c r="Z14" s="17">
        <f t="shared" si="17"/>
        <v>6.6666666666666666E-2</v>
      </c>
    </row>
    <row r="15" spans="2:26" ht="15">
      <c r="B15" s="59" t="s">
        <v>107</v>
      </c>
      <c r="C15" s="30">
        <v>60603</v>
      </c>
      <c r="D15" s="30">
        <v>32</v>
      </c>
      <c r="E15" s="34">
        <f t="shared" si="11"/>
        <v>5.2802666534659999E-4</v>
      </c>
      <c r="F15" s="35">
        <v>51.96</v>
      </c>
      <c r="G15" s="35">
        <f t="shared" si="12"/>
        <v>0.85738329785654177</v>
      </c>
      <c r="H15" s="35">
        <f t="shared" si="13"/>
        <v>1.62375</v>
      </c>
      <c r="I15" s="30">
        <v>1</v>
      </c>
      <c r="J15" s="59" t="s">
        <v>21</v>
      </c>
      <c r="K15" s="55">
        <v>0.14960000000000001</v>
      </c>
      <c r="L15" s="42">
        <v>58534</v>
      </c>
      <c r="M15" s="12">
        <v>32</v>
      </c>
      <c r="N15" s="43">
        <v>5.0000000000000001E-4</v>
      </c>
      <c r="O15" s="44">
        <v>50.3</v>
      </c>
      <c r="P15" s="44">
        <v>0.86</v>
      </c>
      <c r="Q15" s="44">
        <v>1.57</v>
      </c>
      <c r="R15" s="18">
        <v>14</v>
      </c>
      <c r="S15" s="45">
        <v>1414.59</v>
      </c>
      <c r="T15" s="12"/>
      <c r="U15" s="59" t="s">
        <v>21</v>
      </c>
      <c r="V15" s="19">
        <f t="shared" si="14"/>
        <v>2069</v>
      </c>
      <c r="W15" s="19">
        <f t="shared" si="15"/>
        <v>1</v>
      </c>
      <c r="X15" s="44">
        <f t="shared" si="4"/>
        <v>1.6600000000000037</v>
      </c>
      <c r="Y15" s="17">
        <f t="shared" si="16"/>
        <v>3.4140224081316103E-2</v>
      </c>
      <c r="Z15" s="17">
        <f t="shared" si="17"/>
        <v>3.125E-2</v>
      </c>
    </row>
    <row r="16" spans="2:26" s="8" customFormat="1" ht="15">
      <c r="B16" s="59"/>
      <c r="C16" s="30">
        <f t="shared" ref="C16" si="18">SUM(C11:C15)</f>
        <v>470876</v>
      </c>
      <c r="D16" s="30">
        <f t="shared" ref="D16" si="19">SUM(D11:D15)</f>
        <v>110</v>
      </c>
      <c r="E16" s="17"/>
      <c r="F16" s="44">
        <f t="shared" ref="F16" si="20">SUM(F11:F15)</f>
        <v>198.4</v>
      </c>
      <c r="G16" s="35"/>
      <c r="H16" s="35"/>
      <c r="I16" s="32"/>
      <c r="J16" s="59"/>
      <c r="K16" s="55"/>
      <c r="L16" s="30">
        <f t="shared" ref="L16" si="21">SUM(L11:L15)</f>
        <v>458755</v>
      </c>
      <c r="M16" s="30">
        <f t="shared" ref="M16" si="22">SUM(M11:M15)</f>
        <v>138</v>
      </c>
      <c r="N16" s="43"/>
      <c r="O16" s="44">
        <f t="shared" ref="O16" si="23">SUM(O11:O15)</f>
        <v>192.95</v>
      </c>
      <c r="P16" s="44"/>
      <c r="Q16" s="44"/>
      <c r="R16" s="12"/>
      <c r="S16" s="44"/>
      <c r="T16" s="12"/>
      <c r="U16" s="59"/>
      <c r="V16" s="19"/>
      <c r="W16" s="19"/>
      <c r="X16" s="44"/>
      <c r="Y16" s="17"/>
      <c r="Z16" s="17"/>
    </row>
    <row r="17" spans="2:26" ht="15">
      <c r="B17" s="71">
        <v>41199</v>
      </c>
      <c r="C17" s="60"/>
      <c r="D17" s="60"/>
      <c r="E17" s="62"/>
      <c r="F17" s="68"/>
      <c r="G17" s="63"/>
      <c r="H17" s="63"/>
      <c r="I17" s="60"/>
      <c r="J17" s="71">
        <v>41199</v>
      </c>
      <c r="K17" s="64"/>
      <c r="L17" s="72"/>
      <c r="M17" s="65"/>
      <c r="N17" s="66"/>
      <c r="O17" s="67"/>
      <c r="P17" s="67"/>
      <c r="Q17" s="67"/>
      <c r="R17" s="69"/>
      <c r="S17" s="70"/>
      <c r="T17" s="65"/>
      <c r="U17" s="71">
        <v>41199</v>
      </c>
      <c r="V17" s="19"/>
      <c r="W17" s="19"/>
      <c r="X17" s="44"/>
      <c r="Y17" s="17"/>
      <c r="Z17" s="17"/>
    </row>
    <row r="18" spans="2:26" ht="15">
      <c r="B18" s="59" t="s">
        <v>17</v>
      </c>
      <c r="C18" s="48">
        <v>94903</v>
      </c>
      <c r="D18" s="49">
        <v>16</v>
      </c>
      <c r="E18" s="34">
        <f>D18/C18</f>
        <v>1.6859319515716048E-4</v>
      </c>
      <c r="F18" s="50">
        <v>19.2</v>
      </c>
      <c r="G18" s="35">
        <f t="shared" ref="G18" si="24">F18/C18*1000</f>
        <v>0.20231183418859255</v>
      </c>
      <c r="H18" s="35">
        <f t="shared" ref="H18" si="25">F18/D18</f>
        <v>1.2</v>
      </c>
      <c r="I18" s="32">
        <v>7</v>
      </c>
      <c r="J18" s="59" t="s">
        <v>17</v>
      </c>
      <c r="K18" s="54">
        <v>3.3500000000000002E-2</v>
      </c>
      <c r="L18" s="42">
        <v>96266</v>
      </c>
      <c r="M18" s="12">
        <v>23</v>
      </c>
      <c r="N18" s="43">
        <v>2.0000000000000001E-4</v>
      </c>
      <c r="O18" s="44">
        <v>19.38</v>
      </c>
      <c r="P18" s="44">
        <v>0.2</v>
      </c>
      <c r="Q18" s="44">
        <v>0.84</v>
      </c>
      <c r="R18" s="12">
        <v>0</v>
      </c>
      <c r="S18" s="44">
        <v>0</v>
      </c>
      <c r="T18" s="12"/>
      <c r="U18" s="59" t="s">
        <v>17</v>
      </c>
      <c r="V18" s="19">
        <f>C18-L18</f>
        <v>-1363</v>
      </c>
      <c r="W18" s="19">
        <f>D18+I18-M18</f>
        <v>0</v>
      </c>
      <c r="X18" s="44">
        <f t="shared" si="4"/>
        <v>-0.17999999999999972</v>
      </c>
      <c r="Y18" s="17">
        <f>V18/C18</f>
        <v>-1.4362032812450607E-2</v>
      </c>
      <c r="Z18" s="17">
        <f>W18/D18</f>
        <v>0</v>
      </c>
    </row>
    <row r="19" spans="2:26" ht="15">
      <c r="B19" s="59" t="s">
        <v>18</v>
      </c>
      <c r="C19" s="48">
        <v>39820</v>
      </c>
      <c r="D19" s="49">
        <v>17</v>
      </c>
      <c r="E19" s="34">
        <f t="shared" ref="E19:E22" si="26">D19/C19</f>
        <v>4.2692114515318936E-4</v>
      </c>
      <c r="F19" s="50">
        <v>54.01</v>
      </c>
      <c r="G19" s="35">
        <f t="shared" ref="G19:G22" si="27">F19/C19*1000</f>
        <v>1.3563535911602209</v>
      </c>
      <c r="H19" s="35">
        <f t="shared" ref="H19:H22" si="28">F19/D19</f>
        <v>3.1770588235294115</v>
      </c>
      <c r="I19" s="30">
        <v>1</v>
      </c>
      <c r="J19" s="59" t="s">
        <v>18</v>
      </c>
      <c r="K19" s="55">
        <v>0.219</v>
      </c>
      <c r="L19" s="39">
        <v>39985</v>
      </c>
      <c r="M19" s="13">
        <v>18</v>
      </c>
      <c r="N19" s="40">
        <v>5.0000000000000001E-4</v>
      </c>
      <c r="O19" s="41">
        <v>54.04</v>
      </c>
      <c r="P19" s="41">
        <v>1.35</v>
      </c>
      <c r="Q19" s="41">
        <v>3</v>
      </c>
      <c r="R19" s="13">
        <v>11</v>
      </c>
      <c r="S19" s="41">
        <v>332.44</v>
      </c>
      <c r="T19" s="13"/>
      <c r="U19" s="59" t="s">
        <v>18</v>
      </c>
      <c r="V19" s="19">
        <f t="shared" ref="V19:V22" si="29">C19-L19</f>
        <v>-165</v>
      </c>
      <c r="W19" s="19">
        <f t="shared" ref="W19:W22" si="30">D19+I19-M19</f>
        <v>0</v>
      </c>
      <c r="X19" s="44">
        <f t="shared" si="4"/>
        <v>-3.0000000000001137E-2</v>
      </c>
      <c r="Y19" s="17">
        <f t="shared" ref="Y19:Y22" si="31">V19/C19</f>
        <v>-4.1436464088397788E-3</v>
      </c>
      <c r="Z19" s="17">
        <f t="shared" ref="Z19:Z22" si="32">W19/D19</f>
        <v>0</v>
      </c>
    </row>
    <row r="20" spans="2:26" ht="15">
      <c r="B20" s="59" t="s">
        <v>19</v>
      </c>
      <c r="C20" s="51">
        <v>103490</v>
      </c>
      <c r="D20" s="49">
        <v>12</v>
      </c>
      <c r="E20" s="34">
        <f t="shared" si="26"/>
        <v>1.1595323219634747E-4</v>
      </c>
      <c r="F20" s="52">
        <v>23.34</v>
      </c>
      <c r="G20" s="35">
        <f t="shared" si="27"/>
        <v>0.22552903662189583</v>
      </c>
      <c r="H20" s="35">
        <f t="shared" si="28"/>
        <v>1.9450000000000001</v>
      </c>
      <c r="I20" s="30">
        <v>0</v>
      </c>
      <c r="J20" s="59" t="s">
        <v>19</v>
      </c>
      <c r="K20" s="54">
        <v>0.1396</v>
      </c>
      <c r="L20" s="42">
        <v>99748</v>
      </c>
      <c r="M20" s="12">
        <v>11</v>
      </c>
      <c r="N20" s="43">
        <v>1E-4</v>
      </c>
      <c r="O20" s="44">
        <v>22.68</v>
      </c>
      <c r="P20" s="44">
        <v>0.23</v>
      </c>
      <c r="Q20" s="44">
        <v>2.06</v>
      </c>
      <c r="R20" s="12">
        <v>0</v>
      </c>
      <c r="S20" s="44">
        <v>0</v>
      </c>
      <c r="T20" s="12"/>
      <c r="U20" s="59" t="s">
        <v>19</v>
      </c>
      <c r="V20" s="19">
        <f t="shared" si="29"/>
        <v>3742</v>
      </c>
      <c r="W20" s="19">
        <f t="shared" si="30"/>
        <v>1</v>
      </c>
      <c r="X20" s="44">
        <f t="shared" si="4"/>
        <v>0.66000000000000014</v>
      </c>
      <c r="Y20" s="17">
        <f t="shared" si="31"/>
        <v>3.6158082906561022E-2</v>
      </c>
      <c r="Z20" s="17">
        <f t="shared" si="32"/>
        <v>8.3333333333333329E-2</v>
      </c>
    </row>
    <row r="21" spans="2:26" ht="15">
      <c r="B21" s="59" t="s">
        <v>20</v>
      </c>
      <c r="C21" s="46">
        <v>54787</v>
      </c>
      <c r="D21" s="49">
        <v>13</v>
      </c>
      <c r="E21" s="34">
        <f t="shared" si="26"/>
        <v>2.3728256703232518E-4</v>
      </c>
      <c r="F21" s="35">
        <v>14.78</v>
      </c>
      <c r="G21" s="35">
        <f t="shared" si="27"/>
        <v>0.26977202621059737</v>
      </c>
      <c r="H21" s="35">
        <f t="shared" si="28"/>
        <v>1.1369230769230769</v>
      </c>
      <c r="I21" s="16">
        <v>0</v>
      </c>
      <c r="J21" s="59" t="s">
        <v>20</v>
      </c>
      <c r="K21" s="55">
        <v>1.37E-2</v>
      </c>
      <c r="L21" s="39">
        <v>54750</v>
      </c>
      <c r="M21" s="13">
        <v>12</v>
      </c>
      <c r="N21" s="40">
        <v>2.0000000000000001E-4</v>
      </c>
      <c r="O21" s="41">
        <v>14.77</v>
      </c>
      <c r="P21" s="41">
        <v>0.27</v>
      </c>
      <c r="Q21" s="41">
        <v>1.23</v>
      </c>
      <c r="R21" s="13">
        <v>1</v>
      </c>
      <c r="S21" s="41">
        <v>169.97</v>
      </c>
      <c r="T21" s="13"/>
      <c r="U21" s="59" t="s">
        <v>20</v>
      </c>
      <c r="V21" s="19">
        <f t="shared" si="29"/>
        <v>37</v>
      </c>
      <c r="W21" s="19">
        <f t="shared" si="30"/>
        <v>1</v>
      </c>
      <c r="X21" s="44">
        <f t="shared" si="4"/>
        <v>9.9999999999997868E-3</v>
      </c>
      <c r="Y21" s="17">
        <f t="shared" si="31"/>
        <v>6.7534269078431018E-4</v>
      </c>
      <c r="Z21" s="17">
        <f t="shared" si="32"/>
        <v>7.6923076923076927E-2</v>
      </c>
    </row>
    <row r="22" spans="2:26" ht="15">
      <c r="B22" s="59" t="s">
        <v>21</v>
      </c>
      <c r="C22" s="48">
        <v>63381</v>
      </c>
      <c r="D22" s="49">
        <v>41</v>
      </c>
      <c r="E22" s="34">
        <f t="shared" si="26"/>
        <v>6.4688155756456979E-4</v>
      </c>
      <c r="F22" s="50">
        <v>51.84</v>
      </c>
      <c r="G22" s="35">
        <f t="shared" si="27"/>
        <v>0.81791073034505613</v>
      </c>
      <c r="H22" s="35">
        <f t="shared" si="28"/>
        <v>1.264390243902439</v>
      </c>
      <c r="I22" s="16">
        <v>1</v>
      </c>
      <c r="J22" s="59" t="s">
        <v>21</v>
      </c>
      <c r="K22" s="55">
        <v>0.1167</v>
      </c>
      <c r="L22" s="42">
        <v>63268</v>
      </c>
      <c r="M22" s="12">
        <v>39</v>
      </c>
      <c r="N22" s="43">
        <v>5.9999999999999995E-4</v>
      </c>
      <c r="O22" s="44">
        <v>51.73</v>
      </c>
      <c r="P22" s="44">
        <v>0.82</v>
      </c>
      <c r="Q22" s="44">
        <v>1.33</v>
      </c>
      <c r="R22" s="12">
        <v>9</v>
      </c>
      <c r="S22" s="44">
        <v>795.65</v>
      </c>
      <c r="T22" s="12"/>
      <c r="U22" s="59" t="s">
        <v>21</v>
      </c>
      <c r="V22" s="19">
        <f t="shared" si="29"/>
        <v>113</v>
      </c>
      <c r="W22" s="19">
        <f t="shared" si="30"/>
        <v>3</v>
      </c>
      <c r="X22" s="44">
        <f t="shared" si="4"/>
        <v>0.11000000000000654</v>
      </c>
      <c r="Y22" s="17">
        <f t="shared" si="31"/>
        <v>1.7828686830438144E-3</v>
      </c>
      <c r="Z22" s="17">
        <f t="shared" si="32"/>
        <v>7.3170731707317069E-2</v>
      </c>
    </row>
    <row r="23" spans="2:26" s="8" customFormat="1" ht="15">
      <c r="B23" s="59"/>
      <c r="C23" s="30">
        <f t="shared" ref="C23" si="33">SUM(C18:C22)</f>
        <v>356381</v>
      </c>
      <c r="D23" s="30">
        <f t="shared" ref="D23" si="34">SUM(D18:D22)</f>
        <v>99</v>
      </c>
      <c r="E23" s="17"/>
      <c r="F23" s="44">
        <f t="shared" ref="F23" si="35">SUM(F18:F22)</f>
        <v>163.17000000000002</v>
      </c>
      <c r="G23" s="35"/>
      <c r="H23" s="35"/>
      <c r="I23" s="32"/>
      <c r="J23" s="59"/>
      <c r="K23" s="55"/>
      <c r="L23" s="30">
        <f t="shared" ref="L23" si="36">SUM(L18:L22)</f>
        <v>354017</v>
      </c>
      <c r="M23" s="30">
        <f t="shared" ref="M23" si="37">SUM(M18:M22)</f>
        <v>103</v>
      </c>
      <c r="N23" s="43"/>
      <c r="O23" s="44">
        <f t="shared" ref="O23" si="38">SUM(O18:O22)</f>
        <v>162.6</v>
      </c>
      <c r="P23" s="44"/>
      <c r="Q23" s="44"/>
      <c r="R23" s="12"/>
      <c r="S23" s="44"/>
      <c r="T23" s="12"/>
      <c r="U23" s="59"/>
      <c r="V23" s="19"/>
      <c r="W23" s="19"/>
      <c r="X23" s="44"/>
      <c r="Y23" s="17"/>
      <c r="Z23" s="17"/>
    </row>
    <row r="24" spans="2:26" ht="15">
      <c r="B24" s="71">
        <v>41200</v>
      </c>
      <c r="C24" s="36"/>
      <c r="D24" s="74"/>
      <c r="E24" s="37"/>
      <c r="F24" s="38"/>
      <c r="G24" s="38"/>
      <c r="H24" s="93"/>
      <c r="I24" s="16"/>
      <c r="J24" s="71">
        <v>41200</v>
      </c>
      <c r="K24" s="15"/>
      <c r="L24" s="18"/>
      <c r="M24" s="18"/>
      <c r="N24" s="17"/>
      <c r="O24" s="22"/>
      <c r="P24" s="22"/>
      <c r="Q24" s="22"/>
      <c r="R24" s="18"/>
      <c r="S24" s="22"/>
      <c r="T24" s="18"/>
      <c r="U24" s="71">
        <v>41200</v>
      </c>
      <c r="V24" s="19"/>
      <c r="W24" s="19"/>
      <c r="X24" s="44"/>
      <c r="Y24" s="17"/>
      <c r="Z24" s="17"/>
    </row>
    <row r="25" spans="2:26" ht="15">
      <c r="B25" s="56" t="s">
        <v>17</v>
      </c>
      <c r="C25" s="48">
        <v>212961</v>
      </c>
      <c r="D25" s="49">
        <v>34</v>
      </c>
      <c r="E25" s="34">
        <f>D25/C25</f>
        <v>1.5965364550316725E-4</v>
      </c>
      <c r="F25" s="50">
        <v>44.84</v>
      </c>
      <c r="G25" s="35">
        <f t="shared" ref="G25" si="39">F25/C25*1000</f>
        <v>0.21055498424594174</v>
      </c>
      <c r="H25" s="35">
        <f t="shared" ref="H25" si="40">F25/D25</f>
        <v>1.3188235294117647</v>
      </c>
      <c r="I25" s="73">
        <v>24</v>
      </c>
      <c r="J25" s="56" t="s">
        <v>17</v>
      </c>
      <c r="K25" s="43">
        <v>2.8299999999999999E-2</v>
      </c>
      <c r="L25" s="42">
        <v>204833</v>
      </c>
      <c r="M25" s="12">
        <v>53</v>
      </c>
      <c r="N25" s="43">
        <v>2.9999999999999997E-4</v>
      </c>
      <c r="O25" s="44">
        <v>42.87</v>
      </c>
      <c r="P25" s="44">
        <v>0.21</v>
      </c>
      <c r="Q25" s="44">
        <v>0.81</v>
      </c>
      <c r="R25" s="12">
        <v>2</v>
      </c>
      <c r="S25" s="44">
        <v>112.06</v>
      </c>
      <c r="T25" s="12"/>
      <c r="U25" s="79" t="s">
        <v>17</v>
      </c>
      <c r="V25" s="19">
        <f>C25-L25</f>
        <v>8128</v>
      </c>
      <c r="W25" s="19">
        <f>D25+I25-M25</f>
        <v>5</v>
      </c>
      <c r="X25" s="44">
        <f t="shared" si="4"/>
        <v>1.970000000000006</v>
      </c>
      <c r="Y25" s="17">
        <f>V25/C25</f>
        <v>3.8166612666168921E-2</v>
      </c>
      <c r="Z25" s="17">
        <f>W25/D25</f>
        <v>0.14705882352941177</v>
      </c>
    </row>
    <row r="26" spans="2:26" ht="15">
      <c r="B26" s="56" t="s">
        <v>18</v>
      </c>
      <c r="C26" s="46">
        <v>24680</v>
      </c>
      <c r="D26" s="47">
        <v>21</v>
      </c>
      <c r="E26" s="34">
        <f t="shared" ref="E26:E29" si="41">D26/C26</f>
        <v>8.5089141004862233E-4</v>
      </c>
      <c r="F26" s="35">
        <v>40.46</v>
      </c>
      <c r="G26" s="35">
        <f t="shared" ref="G26:G29" si="42">F26/C26*1000</f>
        <v>1.6393841166936791</v>
      </c>
      <c r="H26" s="35">
        <f t="shared" ref="H26:H29" si="43">F26/D26</f>
        <v>1.9266666666666667</v>
      </c>
      <c r="I26" s="73">
        <v>2</v>
      </c>
      <c r="J26" s="56" t="s">
        <v>18</v>
      </c>
      <c r="K26" s="40">
        <v>0.1918</v>
      </c>
      <c r="L26" s="39">
        <v>24765</v>
      </c>
      <c r="M26" s="13">
        <v>23</v>
      </c>
      <c r="N26" s="40">
        <v>8.9999999999999998E-4</v>
      </c>
      <c r="O26" s="41">
        <v>40.450000000000003</v>
      </c>
      <c r="P26" s="41">
        <v>1.63</v>
      </c>
      <c r="Q26" s="41">
        <v>1.76</v>
      </c>
      <c r="R26" s="13">
        <v>11</v>
      </c>
      <c r="S26" s="41">
        <v>139.55000000000001</v>
      </c>
      <c r="T26" s="13"/>
      <c r="U26" s="79" t="s">
        <v>18</v>
      </c>
      <c r="V26" s="19">
        <f t="shared" ref="V26:V29" si="44">C26-L26</f>
        <v>-85</v>
      </c>
      <c r="W26" s="19">
        <f t="shared" ref="W26:W29" si="45">D26+I26-M26</f>
        <v>0</v>
      </c>
      <c r="X26" s="44">
        <f t="shared" si="4"/>
        <v>9.9999999999980105E-3</v>
      </c>
      <c r="Y26" s="17">
        <f t="shared" ref="Y26:Y29" si="46">V26/C26</f>
        <v>-3.4440842787682334E-3</v>
      </c>
      <c r="Z26" s="17">
        <f t="shared" ref="Z26:Z29" si="47">W26/D26</f>
        <v>0</v>
      </c>
    </row>
    <row r="27" spans="2:26" ht="15">
      <c r="B27" s="56" t="s">
        <v>19</v>
      </c>
      <c r="C27" s="51">
        <v>184215</v>
      </c>
      <c r="D27" s="47">
        <v>13</v>
      </c>
      <c r="E27" s="34">
        <f t="shared" si="41"/>
        <v>7.0569714735499282E-5</v>
      </c>
      <c r="F27" s="35">
        <v>39.380000000000003</v>
      </c>
      <c r="G27" s="35">
        <f t="shared" si="42"/>
        <v>0.21377195125261245</v>
      </c>
      <c r="H27" s="35">
        <f t="shared" si="43"/>
        <v>3.0292307692307694</v>
      </c>
      <c r="I27" s="73"/>
      <c r="J27" s="56" t="s">
        <v>19</v>
      </c>
      <c r="K27" s="43">
        <v>0.1116</v>
      </c>
      <c r="L27" s="42">
        <v>139285</v>
      </c>
      <c r="M27" s="12">
        <v>11</v>
      </c>
      <c r="N27" s="43">
        <v>1E-4</v>
      </c>
      <c r="O27" s="44">
        <v>29.11</v>
      </c>
      <c r="P27" s="44">
        <v>0.21</v>
      </c>
      <c r="Q27" s="44">
        <v>2.65</v>
      </c>
      <c r="R27" s="12">
        <v>1</v>
      </c>
      <c r="S27" s="44">
        <v>8.77</v>
      </c>
      <c r="T27" s="12"/>
      <c r="U27" s="79" t="s">
        <v>19</v>
      </c>
      <c r="V27" s="19">
        <f t="shared" si="44"/>
        <v>44930</v>
      </c>
      <c r="W27" s="19">
        <f t="shared" si="45"/>
        <v>2</v>
      </c>
      <c r="X27" s="44">
        <f t="shared" si="4"/>
        <v>10.270000000000003</v>
      </c>
      <c r="Y27" s="17">
        <f t="shared" si="46"/>
        <v>0.24389979100507558</v>
      </c>
      <c r="Z27" s="17">
        <f t="shared" si="47"/>
        <v>0.15384615384615385</v>
      </c>
    </row>
    <row r="28" spans="2:26" ht="15">
      <c r="B28" s="56" t="s">
        <v>20</v>
      </c>
      <c r="C28" s="76">
        <v>78394</v>
      </c>
      <c r="D28" s="77">
        <v>16</v>
      </c>
      <c r="E28" s="34">
        <f t="shared" si="41"/>
        <v>2.0409725234074035E-4</v>
      </c>
      <c r="F28" s="78">
        <v>18.010000000000002</v>
      </c>
      <c r="G28" s="35">
        <f t="shared" si="42"/>
        <v>0.2297369696660459</v>
      </c>
      <c r="H28" s="35">
        <f t="shared" si="43"/>
        <v>1.1256250000000001</v>
      </c>
      <c r="I28" s="73">
        <v>1</v>
      </c>
      <c r="J28" s="56" t="s">
        <v>20</v>
      </c>
      <c r="K28" s="54">
        <v>8.8999999999999999E-3</v>
      </c>
      <c r="L28" s="39">
        <v>78659</v>
      </c>
      <c r="M28" s="13">
        <v>16</v>
      </c>
      <c r="N28" s="40">
        <v>2.0000000000000001E-4</v>
      </c>
      <c r="O28" s="41">
        <v>18.079999999999998</v>
      </c>
      <c r="P28" s="41">
        <v>0.23</v>
      </c>
      <c r="Q28" s="41">
        <v>1.1299999999999999</v>
      </c>
      <c r="R28" s="13">
        <v>0</v>
      </c>
      <c r="S28" s="41">
        <v>0</v>
      </c>
      <c r="T28" s="13"/>
      <c r="U28" s="79" t="s">
        <v>20</v>
      </c>
      <c r="V28" s="19">
        <f t="shared" si="44"/>
        <v>-265</v>
      </c>
      <c r="W28" s="19">
        <f t="shared" si="45"/>
        <v>1</v>
      </c>
      <c r="X28" s="44">
        <f t="shared" si="4"/>
        <v>-6.9999999999996732E-2</v>
      </c>
      <c r="Y28" s="17">
        <f t="shared" si="46"/>
        <v>-3.3803607418935121E-3</v>
      </c>
      <c r="Z28" s="17">
        <f t="shared" si="47"/>
        <v>6.25E-2</v>
      </c>
    </row>
    <row r="29" spans="2:26" ht="15">
      <c r="B29" s="56" t="s">
        <v>21</v>
      </c>
      <c r="C29" s="48">
        <v>56708</v>
      </c>
      <c r="D29" s="49">
        <v>38</v>
      </c>
      <c r="E29" s="34">
        <f t="shared" si="41"/>
        <v>6.7009945686675597E-4</v>
      </c>
      <c r="F29" s="50">
        <v>50.73</v>
      </c>
      <c r="G29" s="35">
        <f t="shared" si="42"/>
        <v>0.89458277491711913</v>
      </c>
      <c r="H29" s="35">
        <f t="shared" si="43"/>
        <v>1.335</v>
      </c>
      <c r="I29" s="73">
        <v>6</v>
      </c>
      <c r="J29" s="56" t="s">
        <v>21</v>
      </c>
      <c r="K29" s="54">
        <v>0.1109</v>
      </c>
      <c r="L29" s="42">
        <v>56522</v>
      </c>
      <c r="M29" s="12">
        <v>44</v>
      </c>
      <c r="N29" s="43">
        <v>8.0000000000000004E-4</v>
      </c>
      <c r="O29" s="44">
        <v>50.57</v>
      </c>
      <c r="P29" s="44">
        <v>0.89</v>
      </c>
      <c r="Q29" s="44">
        <v>1.1499999999999999</v>
      </c>
      <c r="R29" s="12">
        <v>30</v>
      </c>
      <c r="S29" s="44">
        <v>1779.36</v>
      </c>
      <c r="T29" s="12"/>
      <c r="U29" s="79" t="s">
        <v>21</v>
      </c>
      <c r="V29" s="19">
        <f t="shared" si="44"/>
        <v>186</v>
      </c>
      <c r="W29" s="19">
        <f t="shared" si="45"/>
        <v>0</v>
      </c>
      <c r="X29" s="44">
        <f t="shared" si="4"/>
        <v>0.15999999999999659</v>
      </c>
      <c r="Y29" s="17">
        <f t="shared" si="46"/>
        <v>3.2799604994004374E-3</v>
      </c>
      <c r="Z29" s="17">
        <f t="shared" si="47"/>
        <v>0</v>
      </c>
    </row>
    <row r="30" spans="2:26" s="8" customFormat="1" ht="15">
      <c r="B30" s="59"/>
      <c r="C30" s="30">
        <f t="shared" ref="C30" si="48">SUM(C25:C29)</f>
        <v>556958</v>
      </c>
      <c r="D30" s="30">
        <f t="shared" ref="D30" si="49">SUM(D25:D29)</f>
        <v>122</v>
      </c>
      <c r="E30" s="17"/>
      <c r="F30" s="44">
        <f t="shared" ref="F30" si="50">SUM(F25:F29)</f>
        <v>193.42</v>
      </c>
      <c r="G30" s="35"/>
      <c r="H30" s="35"/>
      <c r="I30" s="32"/>
      <c r="J30" s="59"/>
      <c r="K30" s="55"/>
      <c r="L30" s="30">
        <f t="shared" ref="L30" si="51">SUM(L25:L29)</f>
        <v>504064</v>
      </c>
      <c r="M30" s="30">
        <f t="shared" ref="M30" si="52">SUM(M25:M29)</f>
        <v>147</v>
      </c>
      <c r="N30" s="43"/>
      <c r="O30" s="44">
        <f t="shared" ref="O30" si="53">SUM(O25:O29)</f>
        <v>181.07999999999998</v>
      </c>
      <c r="P30" s="44"/>
      <c r="Q30" s="44"/>
      <c r="R30" s="12"/>
      <c r="S30" s="44"/>
      <c r="T30" s="12"/>
      <c r="U30" s="59"/>
      <c r="V30" s="19"/>
      <c r="W30" s="19"/>
      <c r="X30" s="44"/>
      <c r="Y30" s="17"/>
      <c r="Z30" s="17"/>
    </row>
    <row r="31" spans="2:26" ht="33.75" customHeight="1">
      <c r="B31" s="71" t="s">
        <v>25</v>
      </c>
      <c r="C31" s="137" t="s">
        <v>26</v>
      </c>
      <c r="D31" s="138"/>
      <c r="E31" s="138"/>
      <c r="F31" s="138"/>
      <c r="G31" s="138"/>
      <c r="H31" s="138"/>
      <c r="I31" s="139"/>
      <c r="J31" s="71" t="s">
        <v>25</v>
      </c>
      <c r="K31" s="15"/>
      <c r="L31" s="18"/>
      <c r="M31" s="18"/>
      <c r="N31" s="17"/>
      <c r="O31" s="22"/>
      <c r="P31" s="22"/>
      <c r="Q31" s="22"/>
      <c r="R31" s="18"/>
      <c r="S31" s="22"/>
      <c r="T31" s="18"/>
      <c r="U31" s="71" t="s">
        <v>25</v>
      </c>
      <c r="V31" s="19"/>
      <c r="W31" s="19"/>
      <c r="X31" s="44"/>
      <c r="Y31" s="17"/>
      <c r="Z31" s="17"/>
    </row>
    <row r="32" spans="2:26" ht="15">
      <c r="B32" s="59" t="s">
        <v>17</v>
      </c>
      <c r="C32" s="48">
        <v>581082</v>
      </c>
      <c r="D32" s="49">
        <v>96</v>
      </c>
      <c r="E32" s="34">
        <f>D32/C32</f>
        <v>1.6520904106477228E-4</v>
      </c>
      <c r="F32" s="50">
        <v>131.72999999999999</v>
      </c>
      <c r="G32" s="35">
        <f t="shared" ref="G32" si="54">F32/C32*1000</f>
        <v>0.22669778103606719</v>
      </c>
      <c r="H32" s="35">
        <f t="shared" ref="H32" si="55">F32/D32</f>
        <v>1.3721874999999999</v>
      </c>
      <c r="I32" s="49">
        <v>83</v>
      </c>
      <c r="J32" s="59" t="s">
        <v>17</v>
      </c>
      <c r="K32" s="55">
        <v>4.7E-2</v>
      </c>
      <c r="L32" s="42">
        <v>584576</v>
      </c>
      <c r="M32" s="12">
        <v>173</v>
      </c>
      <c r="N32" s="43">
        <v>2.9999999999999997E-4</v>
      </c>
      <c r="O32" s="44">
        <v>132.57</v>
      </c>
      <c r="P32" s="44">
        <v>0.23</v>
      </c>
      <c r="Q32" s="44">
        <v>0.77</v>
      </c>
      <c r="R32" s="12">
        <v>2</v>
      </c>
      <c r="S32" s="44">
        <v>22.25</v>
      </c>
      <c r="T32" s="12"/>
      <c r="U32" s="59" t="s">
        <v>17</v>
      </c>
      <c r="V32" s="19">
        <f>C32-L32</f>
        <v>-3494</v>
      </c>
      <c r="W32" s="19">
        <f>D32+I32-M32</f>
        <v>6</v>
      </c>
      <c r="X32" s="44">
        <f t="shared" si="4"/>
        <v>-0.84000000000000341</v>
      </c>
      <c r="Y32" s="17">
        <f>V32/C32</f>
        <v>-6.012920723753274E-3</v>
      </c>
      <c r="Z32" s="17">
        <f>W32/D32</f>
        <v>6.25E-2</v>
      </c>
    </row>
    <row r="33" spans="2:26" ht="15">
      <c r="B33" s="59" t="s">
        <v>18</v>
      </c>
      <c r="C33" s="48">
        <v>96535</v>
      </c>
      <c r="D33" s="49">
        <v>35</v>
      </c>
      <c r="E33" s="34">
        <f>D33/C33</f>
        <v>3.6256280105661159E-4</v>
      </c>
      <c r="F33" s="50">
        <v>51.86</v>
      </c>
      <c r="G33" s="35">
        <f t="shared" ref="G33" si="56">F33/C33*1000</f>
        <v>0.53721448179416786</v>
      </c>
      <c r="H33" s="35">
        <f t="shared" ref="H33" si="57">F33/D33</f>
        <v>1.4817142857142858</v>
      </c>
      <c r="I33" s="49">
        <v>11</v>
      </c>
      <c r="J33" s="59" t="s">
        <v>18</v>
      </c>
      <c r="K33" s="55">
        <v>2.0299999999999999E-2</v>
      </c>
      <c r="L33" s="39">
        <v>95280</v>
      </c>
      <c r="M33" s="13">
        <v>45</v>
      </c>
      <c r="N33" s="40">
        <v>5.0000000000000001E-4</v>
      </c>
      <c r="O33" s="41">
        <v>51.24</v>
      </c>
      <c r="P33" s="41">
        <v>0.54</v>
      </c>
      <c r="Q33" s="41">
        <v>1.1399999999999999</v>
      </c>
      <c r="R33" s="13">
        <v>27</v>
      </c>
      <c r="S33" s="41">
        <v>536.92999999999995</v>
      </c>
      <c r="T33" s="13"/>
      <c r="U33" s="59" t="s">
        <v>18</v>
      </c>
      <c r="V33" s="19">
        <f t="shared" ref="V33:V36" si="58">C33-L33</f>
        <v>1255</v>
      </c>
      <c r="W33" s="19">
        <f t="shared" ref="W33:W36" si="59">D33+I33-M33</f>
        <v>1</v>
      </c>
      <c r="X33" s="44">
        <f t="shared" si="4"/>
        <v>0.61999999999999744</v>
      </c>
      <c r="Y33" s="17">
        <f t="shared" ref="Y33:Y36" si="60">V33/C33</f>
        <v>1.3000466152172787E-2</v>
      </c>
      <c r="Z33" s="17">
        <f t="shared" ref="Z33:Z36" si="61">W33/D33</f>
        <v>2.8571428571428571E-2</v>
      </c>
    </row>
    <row r="34" spans="2:26" ht="15">
      <c r="B34" s="59" t="s">
        <v>19</v>
      </c>
      <c r="C34" s="51"/>
      <c r="D34" s="47"/>
      <c r="E34" s="17"/>
      <c r="F34" s="35"/>
      <c r="G34" s="31"/>
      <c r="H34" s="31"/>
      <c r="I34" s="16"/>
      <c r="J34" s="59" t="s">
        <v>19</v>
      </c>
      <c r="K34" s="43"/>
      <c r="L34" s="42"/>
      <c r="M34" s="12"/>
      <c r="N34" s="43"/>
      <c r="O34" s="44"/>
      <c r="P34" s="44"/>
      <c r="Q34" s="44"/>
      <c r="R34" s="12"/>
      <c r="S34" s="44"/>
      <c r="T34" s="12"/>
      <c r="U34" s="59" t="s">
        <v>19</v>
      </c>
      <c r="V34" s="19">
        <f t="shared" si="58"/>
        <v>0</v>
      </c>
      <c r="W34" s="19">
        <f t="shared" si="59"/>
        <v>0</v>
      </c>
      <c r="X34" s="44">
        <f t="shared" si="4"/>
        <v>0</v>
      </c>
      <c r="Y34" s="17" t="e">
        <f t="shared" si="60"/>
        <v>#DIV/0!</v>
      </c>
      <c r="Z34" s="17" t="e">
        <f t="shared" si="61"/>
        <v>#DIV/0!</v>
      </c>
    </row>
    <row r="35" spans="2:26" ht="15">
      <c r="B35" s="59" t="s">
        <v>20</v>
      </c>
      <c r="C35" s="48">
        <v>322572</v>
      </c>
      <c r="D35" s="49">
        <v>91</v>
      </c>
      <c r="E35" s="34">
        <f>D35/C35</f>
        <v>2.8210756048262096E-4</v>
      </c>
      <c r="F35" s="50">
        <v>77.25</v>
      </c>
      <c r="G35" s="35">
        <f t="shared" ref="G35" si="62">F35/C35*1000</f>
        <v>0.23948141810200513</v>
      </c>
      <c r="H35" s="35">
        <f t="shared" ref="H35" si="63">F35/D35</f>
        <v>0.84890109890109888</v>
      </c>
      <c r="I35" s="49">
        <v>19</v>
      </c>
      <c r="J35" s="59" t="s">
        <v>20</v>
      </c>
      <c r="K35" s="55">
        <v>1.3599999999999999E-2</v>
      </c>
      <c r="L35" s="39">
        <v>323011</v>
      </c>
      <c r="M35" s="13">
        <v>107</v>
      </c>
      <c r="N35" s="40">
        <v>2.9999999999999997E-4</v>
      </c>
      <c r="O35" s="41">
        <v>77.41</v>
      </c>
      <c r="P35" s="41">
        <v>0.24</v>
      </c>
      <c r="Q35" s="41">
        <v>0.72</v>
      </c>
      <c r="R35" s="13">
        <v>12</v>
      </c>
      <c r="S35" s="41">
        <v>650.98</v>
      </c>
      <c r="T35" s="13"/>
      <c r="U35" s="59" t="s">
        <v>20</v>
      </c>
      <c r="V35" s="19">
        <f t="shared" si="58"/>
        <v>-439</v>
      </c>
      <c r="W35" s="19">
        <f t="shared" si="59"/>
        <v>3</v>
      </c>
      <c r="X35" s="44">
        <f t="shared" si="4"/>
        <v>-0.15999999999999659</v>
      </c>
      <c r="Y35" s="17">
        <f t="shared" si="60"/>
        <v>-1.360936473097479E-3</v>
      </c>
      <c r="Z35" s="17">
        <f t="shared" si="61"/>
        <v>3.2967032967032968E-2</v>
      </c>
    </row>
    <row r="36" spans="2:26" ht="15">
      <c r="B36" s="59" t="s">
        <v>21</v>
      </c>
      <c r="C36" s="48">
        <v>177828</v>
      </c>
      <c r="D36" s="49">
        <v>162</v>
      </c>
      <c r="E36" s="34">
        <f>D36/C36</f>
        <v>9.1099264457790679E-4</v>
      </c>
      <c r="F36" s="50">
        <v>148.97</v>
      </c>
      <c r="G36" s="35">
        <f t="shared" ref="G36" si="64">F36/C36*1000</f>
        <v>0.83771959421463427</v>
      </c>
      <c r="H36" s="35">
        <f t="shared" ref="H36" si="65">F36/D36</f>
        <v>0.91956790123456789</v>
      </c>
      <c r="I36" s="49">
        <v>6</v>
      </c>
      <c r="J36" s="59" t="s">
        <v>21</v>
      </c>
      <c r="K36" s="55">
        <v>0.39500000000000002</v>
      </c>
      <c r="L36" s="42">
        <v>173537</v>
      </c>
      <c r="M36" s="12">
        <v>166</v>
      </c>
      <c r="N36" s="43">
        <v>9.5656833989293355E-4</v>
      </c>
      <c r="O36" s="44">
        <v>145.54</v>
      </c>
      <c r="P36" s="44">
        <v>0.84</v>
      </c>
      <c r="Q36" s="44">
        <v>0.88</v>
      </c>
      <c r="R36" s="12">
        <v>57</v>
      </c>
      <c r="S36" s="44">
        <v>4777.07</v>
      </c>
      <c r="T36" s="12"/>
      <c r="U36" s="59" t="s">
        <v>21</v>
      </c>
      <c r="V36" s="19">
        <f t="shared" si="58"/>
        <v>4291</v>
      </c>
      <c r="W36" s="19">
        <f t="shared" si="59"/>
        <v>2</v>
      </c>
      <c r="X36" s="44">
        <f t="shared" si="4"/>
        <v>3.4300000000000068</v>
      </c>
      <c r="Y36" s="17">
        <f t="shared" si="60"/>
        <v>2.4130058258541962E-2</v>
      </c>
      <c r="Z36" s="17">
        <f t="shared" si="61"/>
        <v>1.2345679012345678E-2</v>
      </c>
    </row>
    <row r="37" spans="2:26" s="8" customFormat="1" ht="15">
      <c r="B37" s="59"/>
      <c r="C37" s="30">
        <f t="shared" ref="C37" si="66">SUM(C32:C36)</f>
        <v>1178017</v>
      </c>
      <c r="D37" s="30">
        <f t="shared" ref="D37" si="67">SUM(D32:D36)</f>
        <v>384</v>
      </c>
      <c r="E37" s="17"/>
      <c r="F37" s="44">
        <f t="shared" ref="F37" si="68">SUM(F32:F36)</f>
        <v>409.80999999999995</v>
      </c>
      <c r="G37" s="35"/>
      <c r="H37" s="35"/>
      <c r="I37" s="32"/>
      <c r="J37" s="59"/>
      <c r="K37" s="55"/>
      <c r="L37" s="30">
        <f t="shared" ref="L37" si="69">SUM(L32:L36)</f>
        <v>1176404</v>
      </c>
      <c r="M37" s="30">
        <f t="shared" ref="M37" si="70">SUM(M32:M36)</f>
        <v>491</v>
      </c>
      <c r="N37" s="43"/>
      <c r="O37" s="44">
        <f t="shared" ref="O37" si="71">SUM(O32:O36)</f>
        <v>406.76</v>
      </c>
      <c r="P37" s="44"/>
      <c r="Q37" s="44"/>
      <c r="R37" s="12"/>
      <c r="S37" s="44"/>
      <c r="T37" s="12"/>
      <c r="U37" s="59"/>
      <c r="V37" s="19"/>
      <c r="W37" s="19"/>
      <c r="X37" s="44"/>
      <c r="Y37" s="17"/>
      <c r="Z37" s="17"/>
    </row>
    <row r="38" spans="2:26" ht="50.25" customHeight="1">
      <c r="B38" s="71">
        <v>41204</v>
      </c>
      <c r="C38" s="137" t="s">
        <v>27</v>
      </c>
      <c r="D38" s="138"/>
      <c r="E38" s="138"/>
      <c r="F38" s="138"/>
      <c r="G38" s="138"/>
      <c r="H38" s="138"/>
      <c r="I38" s="139"/>
      <c r="J38" s="71">
        <v>41204</v>
      </c>
      <c r="K38" s="15"/>
      <c r="L38" s="18"/>
      <c r="M38" s="18"/>
      <c r="N38" s="17"/>
      <c r="O38" s="22"/>
      <c r="P38" s="22"/>
      <c r="Q38" s="22"/>
      <c r="R38" s="18"/>
      <c r="S38" s="22"/>
      <c r="T38" s="18"/>
      <c r="U38" s="71">
        <v>41204</v>
      </c>
      <c r="V38" s="19"/>
      <c r="W38" s="19"/>
      <c r="X38" s="44"/>
      <c r="Y38" s="17"/>
      <c r="Z38" s="17"/>
    </row>
    <row r="39" spans="2:26" ht="15">
      <c r="B39" s="56" t="s">
        <v>17</v>
      </c>
      <c r="C39" s="48">
        <v>191170</v>
      </c>
      <c r="D39" s="49">
        <v>41</v>
      </c>
      <c r="E39" s="34">
        <f>D39/C39</f>
        <v>2.1446879740545064E-4</v>
      </c>
      <c r="F39" s="50">
        <v>46.07</v>
      </c>
      <c r="G39" s="35">
        <f t="shared" ref="G39" si="72">F39/C39*1000</f>
        <v>0.24098969503583201</v>
      </c>
      <c r="H39" s="35">
        <f t="shared" ref="H39" si="73">F39/D39</f>
        <v>1.123658536585366</v>
      </c>
      <c r="I39" s="49">
        <v>31</v>
      </c>
      <c r="J39" s="79" t="s">
        <v>17</v>
      </c>
      <c r="K39" s="85"/>
      <c r="L39" s="42">
        <v>192620</v>
      </c>
      <c r="M39" s="12">
        <v>69</v>
      </c>
      <c r="N39" s="43">
        <v>4.0000000000000002E-4</v>
      </c>
      <c r="O39" s="44">
        <v>46</v>
      </c>
      <c r="P39" s="44">
        <v>0.24</v>
      </c>
      <c r="Q39" s="44">
        <v>0.67</v>
      </c>
      <c r="R39" s="12">
        <v>1</v>
      </c>
      <c r="S39" s="44">
        <v>20.78</v>
      </c>
      <c r="T39" s="12"/>
      <c r="U39" s="79" t="s">
        <v>17</v>
      </c>
      <c r="V39" s="19">
        <f t="shared" ref="V39:V43" si="74">C39-L39</f>
        <v>-1450</v>
      </c>
      <c r="W39" s="19">
        <f t="shared" ref="W39:W43" si="75">D39+I39-M39</f>
        <v>3</v>
      </c>
      <c r="X39" s="44">
        <f t="shared" si="4"/>
        <v>7.0000000000000284E-2</v>
      </c>
      <c r="Y39" s="17">
        <f>V39/C39</f>
        <v>-7.5848721033634986E-3</v>
      </c>
      <c r="Z39" s="17">
        <f>W39/D39</f>
        <v>7.3170731707317069E-2</v>
      </c>
    </row>
    <row r="40" spans="2:26" ht="15">
      <c r="B40" s="56" t="s">
        <v>18</v>
      </c>
      <c r="C40" s="47">
        <v>356</v>
      </c>
      <c r="D40" s="47">
        <v>0</v>
      </c>
      <c r="E40" s="34">
        <f>D40/C40</f>
        <v>0</v>
      </c>
      <c r="F40" s="35">
        <v>0.21</v>
      </c>
      <c r="G40" s="35">
        <f t="shared" ref="G40" si="76">F40/C40*1000</f>
        <v>0.5898876404494382</v>
      </c>
      <c r="H40" s="35" t="e">
        <f t="shared" ref="H40" si="77">F40/D40</f>
        <v>#DIV/0!</v>
      </c>
      <c r="I40" s="47">
        <v>0</v>
      </c>
      <c r="J40" s="79" t="s">
        <v>18</v>
      </c>
      <c r="K40" s="86"/>
      <c r="L40" s="13">
        <v>263</v>
      </c>
      <c r="M40" s="13">
        <v>1</v>
      </c>
      <c r="N40" s="40">
        <v>3.8E-3</v>
      </c>
      <c r="O40" s="41">
        <v>0.16</v>
      </c>
      <c r="P40" s="41">
        <v>0.6</v>
      </c>
      <c r="Q40" s="41">
        <v>0.16</v>
      </c>
      <c r="R40" s="13">
        <v>12</v>
      </c>
      <c r="S40" s="41">
        <v>350.99</v>
      </c>
      <c r="T40" s="13"/>
      <c r="U40" s="79" t="s">
        <v>18</v>
      </c>
      <c r="V40" s="19">
        <f t="shared" si="74"/>
        <v>93</v>
      </c>
      <c r="W40" s="19">
        <f t="shared" si="75"/>
        <v>-1</v>
      </c>
      <c r="X40" s="44">
        <f t="shared" si="4"/>
        <v>4.9999999999999989E-2</v>
      </c>
      <c r="Y40" s="17">
        <f t="shared" ref="Y40:Y43" si="78">V40/C40</f>
        <v>0.2612359550561798</v>
      </c>
      <c r="Z40" s="17" t="e">
        <f t="shared" ref="Z40:Z43" si="79">W40/D40</f>
        <v>#DIV/0!</v>
      </c>
    </row>
    <row r="41" spans="2:26" ht="15">
      <c r="B41" s="56" t="s">
        <v>19</v>
      </c>
      <c r="C41" s="51"/>
      <c r="D41" s="47"/>
      <c r="E41" s="17"/>
      <c r="F41" s="35"/>
      <c r="G41" s="31"/>
      <c r="H41" s="31"/>
      <c r="I41" s="16"/>
      <c r="J41" s="79" t="s">
        <v>19</v>
      </c>
      <c r="K41" s="85"/>
      <c r="L41" s="42"/>
      <c r="M41" s="12"/>
      <c r="N41" s="43"/>
      <c r="O41" s="44"/>
      <c r="P41" s="44"/>
      <c r="Q41" s="44"/>
      <c r="R41" s="12"/>
      <c r="S41" s="44"/>
      <c r="T41" s="12"/>
      <c r="U41" s="79" t="s">
        <v>19</v>
      </c>
      <c r="V41" s="19">
        <f t="shared" si="74"/>
        <v>0</v>
      </c>
      <c r="W41" s="19">
        <f t="shared" si="75"/>
        <v>0</v>
      </c>
      <c r="X41" s="44">
        <f>F41-O41</f>
        <v>0</v>
      </c>
      <c r="Y41" s="17" t="e">
        <f t="shared" si="78"/>
        <v>#DIV/0!</v>
      </c>
      <c r="Z41" s="17" t="e">
        <f t="shared" si="79"/>
        <v>#DIV/0!</v>
      </c>
    </row>
    <row r="42" spans="2:26" ht="15">
      <c r="B42" s="56" t="s">
        <v>20</v>
      </c>
      <c r="C42" s="48">
        <v>90442</v>
      </c>
      <c r="D42" s="49">
        <v>35</v>
      </c>
      <c r="E42" s="34">
        <f>D42/C42</f>
        <v>3.8698834612237675E-4</v>
      </c>
      <c r="F42" s="50">
        <v>22.37</v>
      </c>
      <c r="G42" s="35">
        <f t="shared" ref="G42" si="80">F42/C42*1000</f>
        <v>0.24734083722164479</v>
      </c>
      <c r="H42" s="35">
        <f t="shared" ref="H42" si="81">F42/D42</f>
        <v>0.63914285714285712</v>
      </c>
      <c r="I42" s="49">
        <v>11</v>
      </c>
      <c r="J42" s="79" t="s">
        <v>20</v>
      </c>
      <c r="K42" s="53"/>
      <c r="L42" s="39">
        <v>90767</v>
      </c>
      <c r="M42" s="13">
        <v>44</v>
      </c>
      <c r="N42" s="40">
        <v>5.0000000000000001E-4</v>
      </c>
      <c r="O42" s="41">
        <v>22.43</v>
      </c>
      <c r="P42" s="41">
        <v>0.25</v>
      </c>
      <c r="Q42" s="41">
        <v>0.51</v>
      </c>
      <c r="R42" s="13">
        <v>3</v>
      </c>
      <c r="S42" s="41">
        <v>169.28</v>
      </c>
      <c r="T42" s="13"/>
      <c r="U42" s="79" t="s">
        <v>20</v>
      </c>
      <c r="V42" s="19">
        <f t="shared" si="74"/>
        <v>-325</v>
      </c>
      <c r="W42" s="19">
        <f t="shared" si="75"/>
        <v>2</v>
      </c>
      <c r="X42" s="44">
        <f t="shared" si="4"/>
        <v>-5.9999999999998721E-2</v>
      </c>
      <c r="Y42" s="17">
        <f t="shared" si="78"/>
        <v>-3.5934632139934986E-3</v>
      </c>
      <c r="Z42" s="17">
        <f t="shared" si="79"/>
        <v>5.7142857142857141E-2</v>
      </c>
    </row>
    <row r="43" spans="2:26" ht="15">
      <c r="B43" s="56" t="s">
        <v>21</v>
      </c>
      <c r="C43" s="46">
        <v>2161</v>
      </c>
      <c r="D43" s="47">
        <v>0</v>
      </c>
      <c r="E43" s="34">
        <f>D43/C43</f>
        <v>0</v>
      </c>
      <c r="F43" s="35">
        <v>1.7</v>
      </c>
      <c r="G43" s="35">
        <f t="shared" ref="G43" si="82">F43/C43*1000</f>
        <v>0.78667283664969911</v>
      </c>
      <c r="H43" s="35" t="e">
        <f t="shared" ref="H43" si="83">F43/D43</f>
        <v>#DIV/0!</v>
      </c>
      <c r="I43" s="47">
        <v>0</v>
      </c>
      <c r="J43" s="79" t="s">
        <v>21</v>
      </c>
      <c r="K43" s="53"/>
      <c r="L43" s="42">
        <v>1445</v>
      </c>
      <c r="M43" s="12">
        <v>0</v>
      </c>
      <c r="N43" s="43">
        <v>0</v>
      </c>
      <c r="O43" s="44">
        <v>1.1399999999999999</v>
      </c>
      <c r="P43" s="44">
        <v>0.79</v>
      </c>
      <c r="Q43" s="44">
        <v>0</v>
      </c>
      <c r="R43" s="12">
        <v>21</v>
      </c>
      <c r="S43" s="44">
        <v>1750.59</v>
      </c>
      <c r="T43" s="12"/>
      <c r="U43" s="79" t="s">
        <v>21</v>
      </c>
      <c r="V43" s="19">
        <f t="shared" si="74"/>
        <v>716</v>
      </c>
      <c r="W43" s="19">
        <f t="shared" si="75"/>
        <v>0</v>
      </c>
      <c r="X43" s="44">
        <f t="shared" si="4"/>
        <v>0.56000000000000005</v>
      </c>
      <c r="Y43" s="17">
        <f t="shared" si="78"/>
        <v>0.33132808884775566</v>
      </c>
      <c r="Z43" s="17" t="e">
        <f t="shared" si="79"/>
        <v>#DIV/0!</v>
      </c>
    </row>
    <row r="44" spans="2:26" s="8" customFormat="1" ht="15">
      <c r="B44" s="59"/>
      <c r="C44" s="30">
        <f t="shared" ref="C44" si="84">SUM(C39:C43)</f>
        <v>284129</v>
      </c>
      <c r="D44" s="30">
        <f t="shared" ref="D44" si="85">SUM(D39:D43)</f>
        <v>76</v>
      </c>
      <c r="E44" s="17"/>
      <c r="F44" s="44">
        <f t="shared" ref="F44" si="86">SUM(F39:F43)</f>
        <v>70.350000000000009</v>
      </c>
      <c r="G44" s="35"/>
      <c r="H44" s="35"/>
      <c r="I44" s="32"/>
      <c r="J44" s="59"/>
      <c r="K44" s="55"/>
      <c r="L44" s="30">
        <f t="shared" ref="L44" si="87">SUM(L39:L43)</f>
        <v>285095</v>
      </c>
      <c r="M44" s="30">
        <f t="shared" ref="M44" si="88">SUM(M39:M43)</f>
        <v>114</v>
      </c>
      <c r="N44" s="43"/>
      <c r="O44" s="44">
        <f t="shared" ref="O44" si="89">SUM(O39:O43)</f>
        <v>69.73</v>
      </c>
      <c r="P44" s="44"/>
      <c r="Q44" s="44"/>
      <c r="R44" s="12"/>
      <c r="S44" s="44"/>
      <c r="T44" s="12"/>
      <c r="U44" s="59"/>
      <c r="V44" s="19"/>
      <c r="W44" s="19"/>
      <c r="X44" s="44"/>
      <c r="Y44" s="17"/>
      <c r="Z44" s="17"/>
    </row>
    <row r="45" spans="2:26" ht="15">
      <c r="B45" s="71">
        <v>41205</v>
      </c>
      <c r="C45" s="81"/>
      <c r="D45" s="82"/>
      <c r="E45" s="83"/>
      <c r="F45" s="84"/>
      <c r="G45" s="84"/>
      <c r="H45" s="94"/>
      <c r="I45" s="82"/>
      <c r="J45" s="71">
        <v>41205</v>
      </c>
      <c r="K45" s="15"/>
      <c r="L45" s="18"/>
      <c r="M45" s="18"/>
      <c r="N45" s="17"/>
      <c r="O45" s="22"/>
      <c r="P45" s="22"/>
      <c r="Q45" s="22"/>
      <c r="R45" s="18"/>
      <c r="S45" s="22"/>
      <c r="T45" s="18"/>
      <c r="U45" s="71">
        <v>41205</v>
      </c>
      <c r="V45" s="19"/>
      <c r="W45" s="19"/>
      <c r="X45" s="44"/>
      <c r="Y45" s="17"/>
      <c r="Z45" s="17"/>
    </row>
    <row r="46" spans="2:26" ht="15">
      <c r="B46" s="56" t="s">
        <v>17</v>
      </c>
      <c r="C46" s="48">
        <v>281844</v>
      </c>
      <c r="D46" s="49">
        <v>57</v>
      </c>
      <c r="E46" s="34">
        <f>D46/C46</f>
        <v>2.0223953676501893E-4</v>
      </c>
      <c r="F46" s="50">
        <v>83.34</v>
      </c>
      <c r="G46" s="35">
        <f t="shared" ref="G46" si="90">F46/C46*1000</f>
        <v>0.29569549112274873</v>
      </c>
      <c r="H46" s="35">
        <f t="shared" ref="H46" si="91">F46/D46</f>
        <v>1.4621052631578948</v>
      </c>
      <c r="I46" s="49">
        <v>33</v>
      </c>
      <c r="J46" s="79" t="s">
        <v>17</v>
      </c>
      <c r="K46" s="85"/>
      <c r="L46" s="42">
        <v>285630</v>
      </c>
      <c r="M46" s="12">
        <v>70</v>
      </c>
      <c r="N46" s="43">
        <v>2.0000000000000001E-4</v>
      </c>
      <c r="O46" s="44">
        <v>83.18</v>
      </c>
      <c r="P46" s="44">
        <v>0.28999999999999998</v>
      </c>
      <c r="Q46" s="44">
        <v>1.19</v>
      </c>
      <c r="R46" s="12">
        <v>0</v>
      </c>
      <c r="S46" s="44">
        <v>0</v>
      </c>
      <c r="T46" s="12">
        <v>22</v>
      </c>
      <c r="U46" s="79" t="s">
        <v>17</v>
      </c>
      <c r="V46" s="19">
        <f>C46-L46</f>
        <v>-3786</v>
      </c>
      <c r="W46" s="19">
        <f>D46+I46-M46-T46</f>
        <v>-2</v>
      </c>
      <c r="X46" s="44">
        <f t="shared" si="4"/>
        <v>0.15999999999999659</v>
      </c>
      <c r="Y46" s="17">
        <f>V46/C46</f>
        <v>-1.343296291565547E-2</v>
      </c>
      <c r="Z46" s="17">
        <f>W46/D46</f>
        <v>-3.5087719298245612E-2</v>
      </c>
    </row>
    <row r="47" spans="2:26" ht="15">
      <c r="B47" s="56" t="s">
        <v>18</v>
      </c>
      <c r="C47" s="48">
        <v>77510</v>
      </c>
      <c r="D47" s="49">
        <v>28</v>
      </c>
      <c r="E47" s="34">
        <f t="shared" ref="E47:E51" si="92">D47/C47</f>
        <v>3.6124371048896917E-4</v>
      </c>
      <c r="F47" s="50">
        <v>60.58</v>
      </c>
      <c r="G47" s="35">
        <f t="shared" ref="G47:G51" si="93">F47/C47*1000</f>
        <v>0.78157657076506259</v>
      </c>
      <c r="H47" s="35">
        <f t="shared" ref="H47:H51" si="94">F47/D47</f>
        <v>2.1635714285714287</v>
      </c>
      <c r="I47" s="49">
        <v>0</v>
      </c>
      <c r="J47" s="80" t="s">
        <v>18</v>
      </c>
      <c r="K47" s="86"/>
      <c r="L47" s="39">
        <v>77536</v>
      </c>
      <c r="M47" s="13">
        <v>28</v>
      </c>
      <c r="N47" s="40">
        <v>4.0000000000000002E-4</v>
      </c>
      <c r="O47" s="41">
        <v>60.52</v>
      </c>
      <c r="P47" s="41">
        <v>0.78</v>
      </c>
      <c r="Q47" s="41">
        <v>2.16</v>
      </c>
      <c r="R47" s="13">
        <v>14</v>
      </c>
      <c r="S47" s="41">
        <v>214.48</v>
      </c>
      <c r="T47" s="13"/>
      <c r="U47" s="79" t="s">
        <v>18</v>
      </c>
      <c r="V47" s="19">
        <f t="shared" ref="V47:V67" si="95">C47-L47</f>
        <v>-26</v>
      </c>
      <c r="W47" s="19">
        <f t="shared" ref="W47:W51" si="96">D47+I47-M47-T47</f>
        <v>0</v>
      </c>
      <c r="X47" s="44">
        <f t="shared" si="4"/>
        <v>5.9999999999995168E-2</v>
      </c>
      <c r="Y47" s="17">
        <v>-3.3544058831118563E-4</v>
      </c>
      <c r="Z47" s="17">
        <f t="shared" ref="Z47:Z51" si="97">W47/D47</f>
        <v>0</v>
      </c>
    </row>
    <row r="48" spans="2:26" ht="15">
      <c r="B48" s="56" t="s">
        <v>19</v>
      </c>
      <c r="C48" s="51">
        <v>183439</v>
      </c>
      <c r="D48" s="52">
        <v>20</v>
      </c>
      <c r="E48" s="34">
        <f t="shared" si="92"/>
        <v>1.0902806927643522E-4</v>
      </c>
      <c r="F48" s="50">
        <v>30.01</v>
      </c>
      <c r="G48" s="35">
        <f t="shared" si="93"/>
        <v>0.16359661794929106</v>
      </c>
      <c r="H48" s="35">
        <f t="shared" si="94"/>
        <v>1.5005000000000002</v>
      </c>
      <c r="I48" s="16">
        <v>0</v>
      </c>
      <c r="J48" s="80" t="s">
        <v>19</v>
      </c>
      <c r="K48" s="85"/>
      <c r="L48" s="42">
        <v>171003</v>
      </c>
      <c r="M48" s="12">
        <v>20</v>
      </c>
      <c r="N48" s="43">
        <v>1E-4</v>
      </c>
      <c r="O48" s="44">
        <v>28.28</v>
      </c>
      <c r="P48" s="44">
        <v>0.17</v>
      </c>
      <c r="Q48" s="44">
        <v>1.41</v>
      </c>
      <c r="R48" s="12">
        <v>0</v>
      </c>
      <c r="S48" s="44">
        <v>0</v>
      </c>
      <c r="T48" s="12"/>
      <c r="U48" s="79" t="s">
        <v>19</v>
      </c>
      <c r="V48" s="19">
        <f t="shared" si="95"/>
        <v>12436</v>
      </c>
      <c r="W48" s="19">
        <f t="shared" si="96"/>
        <v>0</v>
      </c>
      <c r="X48" s="44">
        <f t="shared" si="4"/>
        <v>1.7300000000000004</v>
      </c>
      <c r="Y48" s="17">
        <v>6.7793653476087415E-2</v>
      </c>
      <c r="Z48" s="17">
        <f t="shared" si="97"/>
        <v>0</v>
      </c>
    </row>
    <row r="49" spans="2:26" ht="15">
      <c r="B49" s="56" t="s">
        <v>28</v>
      </c>
      <c r="C49" s="51">
        <v>190194</v>
      </c>
      <c r="D49" s="52">
        <v>158</v>
      </c>
      <c r="E49" s="34">
        <f t="shared" si="92"/>
        <v>8.3073072757289929E-4</v>
      </c>
      <c r="F49" s="50">
        <v>60.58</v>
      </c>
      <c r="G49" s="35">
        <f t="shared" si="93"/>
        <v>0.31851688276181161</v>
      </c>
      <c r="H49" s="35">
        <f t="shared" si="94"/>
        <v>0.38341772151898734</v>
      </c>
      <c r="I49" s="16">
        <v>0</v>
      </c>
      <c r="J49" s="56" t="s">
        <v>28</v>
      </c>
      <c r="K49" s="43"/>
      <c r="L49" s="9">
        <v>187506</v>
      </c>
      <c r="M49" s="10">
        <v>125</v>
      </c>
      <c r="N49" s="33">
        <v>6.9999999999999999E-4</v>
      </c>
      <c r="O49" s="11">
        <v>59.72</v>
      </c>
      <c r="P49" s="11">
        <v>0.32</v>
      </c>
      <c r="Q49" s="11">
        <v>0.48</v>
      </c>
      <c r="R49" s="10">
        <v>0</v>
      </c>
      <c r="S49" s="11">
        <v>0</v>
      </c>
      <c r="T49" s="10">
        <v>34</v>
      </c>
      <c r="U49" s="56" t="s">
        <v>28</v>
      </c>
      <c r="V49" s="19">
        <f t="shared" si="95"/>
        <v>2688</v>
      </c>
      <c r="W49" s="19">
        <f t="shared" si="96"/>
        <v>-1</v>
      </c>
      <c r="X49" s="44">
        <f t="shared" si="4"/>
        <v>0.85999999999999943</v>
      </c>
      <c r="Y49" s="17">
        <v>1.4132937947569323E-2</v>
      </c>
      <c r="Z49" s="17">
        <f t="shared" si="97"/>
        <v>-6.3291139240506328E-3</v>
      </c>
    </row>
    <row r="50" spans="2:26" ht="15">
      <c r="B50" s="56" t="s">
        <v>20</v>
      </c>
      <c r="C50" s="46">
        <v>150008</v>
      </c>
      <c r="D50" s="47">
        <v>83</v>
      </c>
      <c r="E50" s="34">
        <f t="shared" si="92"/>
        <v>5.5330382379606424E-4</v>
      </c>
      <c r="F50" s="35">
        <v>52.27</v>
      </c>
      <c r="G50" s="35">
        <f t="shared" si="93"/>
        <v>0.34844808276891903</v>
      </c>
      <c r="H50" s="35">
        <f t="shared" si="94"/>
        <v>0.6297590361445784</v>
      </c>
      <c r="I50" s="47">
        <v>9</v>
      </c>
      <c r="J50" s="80" t="s">
        <v>20</v>
      </c>
      <c r="K50" s="53"/>
      <c r="L50" s="39">
        <v>151120</v>
      </c>
      <c r="M50" s="13">
        <v>86</v>
      </c>
      <c r="N50" s="40">
        <v>5.9999999999999995E-4</v>
      </c>
      <c r="O50" s="41">
        <v>52.62</v>
      </c>
      <c r="P50" s="41">
        <v>0.35</v>
      </c>
      <c r="Q50" s="41">
        <v>0.61</v>
      </c>
      <c r="R50" s="13">
        <v>5</v>
      </c>
      <c r="S50" s="41">
        <v>440.78</v>
      </c>
      <c r="T50" s="13">
        <v>5</v>
      </c>
      <c r="U50" s="79" t="s">
        <v>20</v>
      </c>
      <c r="V50" s="19">
        <f t="shared" si="95"/>
        <v>-1112</v>
      </c>
      <c r="W50" s="19">
        <f t="shared" si="96"/>
        <v>1</v>
      </c>
      <c r="X50" s="44">
        <f t="shared" si="4"/>
        <v>-0.34999999999999432</v>
      </c>
      <c r="Y50" s="17">
        <v>-7.4129379766412458E-3</v>
      </c>
      <c r="Z50" s="17">
        <f t="shared" si="97"/>
        <v>1.2048192771084338E-2</v>
      </c>
    </row>
    <row r="51" spans="2:26" ht="15">
      <c r="B51" s="56" t="s">
        <v>21</v>
      </c>
      <c r="C51" s="46">
        <v>73563</v>
      </c>
      <c r="D51" s="47">
        <v>54</v>
      </c>
      <c r="E51" s="34">
        <f t="shared" si="92"/>
        <v>7.3406467925451655E-4</v>
      </c>
      <c r="F51" s="35">
        <v>57.31</v>
      </c>
      <c r="G51" s="35">
        <f t="shared" si="93"/>
        <v>0.77906012533474711</v>
      </c>
      <c r="H51" s="35">
        <f t="shared" si="94"/>
        <v>1.0612962962962964</v>
      </c>
      <c r="I51" s="47">
        <v>2</v>
      </c>
      <c r="J51" s="80" t="s">
        <v>21</v>
      </c>
      <c r="K51" s="53"/>
      <c r="L51" s="42">
        <v>73416</v>
      </c>
      <c r="M51" s="12">
        <v>56</v>
      </c>
      <c r="N51" s="43">
        <v>8.0000000000000004E-4</v>
      </c>
      <c r="O51" s="44">
        <v>57.16</v>
      </c>
      <c r="P51" s="44">
        <v>0.78</v>
      </c>
      <c r="Q51" s="44">
        <v>1.02</v>
      </c>
      <c r="R51" s="12">
        <v>25</v>
      </c>
      <c r="S51" s="44">
        <v>1653.29</v>
      </c>
      <c r="T51" s="12"/>
      <c r="U51" s="79" t="s">
        <v>21</v>
      </c>
      <c r="V51" s="19">
        <f t="shared" si="95"/>
        <v>147</v>
      </c>
      <c r="W51" s="19">
        <f t="shared" si="96"/>
        <v>0</v>
      </c>
      <c r="X51" s="44">
        <f t="shared" si="4"/>
        <v>0.15000000000000568</v>
      </c>
      <c r="Y51" s="17">
        <v>1.9982871824150727E-3</v>
      </c>
      <c r="Z51" s="17">
        <f t="shared" si="97"/>
        <v>0</v>
      </c>
    </row>
    <row r="52" spans="2:26" s="8" customFormat="1" ht="15">
      <c r="B52" s="59"/>
      <c r="C52" s="30">
        <f>SUM(C46:C51)</f>
        <v>956558</v>
      </c>
      <c r="D52" s="30">
        <f>SUM(D46:D51)</f>
        <v>400</v>
      </c>
      <c r="E52" s="17"/>
      <c r="F52" s="44">
        <f>SUM(F46:F51)</f>
        <v>344.09</v>
      </c>
      <c r="G52" s="35"/>
      <c r="H52" s="35"/>
      <c r="I52" s="32"/>
      <c r="J52" s="59"/>
      <c r="K52" s="55"/>
      <c r="L52" s="30">
        <f>SUM(L46:L51)</f>
        <v>946211</v>
      </c>
      <c r="M52" s="30">
        <f>SUM(M46:M51)</f>
        <v>385</v>
      </c>
      <c r="N52" s="43"/>
      <c r="O52" s="44">
        <f>SUM(O46:O51)</f>
        <v>341.48</v>
      </c>
      <c r="P52" s="44"/>
      <c r="Q52" s="44"/>
      <c r="R52" s="12"/>
      <c r="S52" s="44"/>
      <c r="T52" s="12"/>
      <c r="U52" s="59"/>
      <c r="V52" s="19"/>
      <c r="W52" s="19"/>
      <c r="X52" s="44"/>
      <c r="Y52" s="17"/>
      <c r="Z52" s="17"/>
    </row>
    <row r="53" spans="2:26" ht="18.75" customHeight="1">
      <c r="B53" s="71">
        <v>41206</v>
      </c>
      <c r="C53" s="140" t="s">
        <v>58</v>
      </c>
      <c r="D53" s="138"/>
      <c r="E53" s="138"/>
      <c r="F53" s="138"/>
      <c r="G53" s="138"/>
      <c r="H53" s="138"/>
      <c r="I53" s="139"/>
      <c r="J53" s="71">
        <v>41206</v>
      </c>
      <c r="K53" s="15"/>
      <c r="L53" s="18"/>
      <c r="M53" s="18"/>
      <c r="N53" s="17"/>
      <c r="O53" s="22"/>
      <c r="P53" s="22"/>
      <c r="Q53" s="22"/>
      <c r="R53" s="18"/>
      <c r="S53" s="22"/>
      <c r="T53" s="18"/>
      <c r="U53" s="71">
        <v>41206</v>
      </c>
      <c r="V53" s="19"/>
      <c r="W53" s="19"/>
      <c r="X53" s="44"/>
      <c r="Y53" s="17"/>
      <c r="Z53" s="17"/>
    </row>
    <row r="54" spans="2:26" ht="15">
      <c r="B54" s="56" t="s">
        <v>17</v>
      </c>
      <c r="C54" s="48">
        <v>114677</v>
      </c>
      <c r="D54" s="49">
        <v>22</v>
      </c>
      <c r="E54" s="34">
        <f>D54/C54</f>
        <v>1.9184317692300985E-4</v>
      </c>
      <c r="F54" s="50">
        <v>25.54</v>
      </c>
      <c r="G54" s="35">
        <f t="shared" ref="G54" si="98">F54/C54*1000</f>
        <v>0.22271248811880323</v>
      </c>
      <c r="H54" s="35">
        <f t="shared" ref="H54" si="99">F54/D54</f>
        <v>1.1609090909090909</v>
      </c>
      <c r="I54" s="49">
        <v>5</v>
      </c>
      <c r="J54" s="56" t="s">
        <v>17</v>
      </c>
      <c r="K54" s="85">
        <v>2.47E-2</v>
      </c>
      <c r="L54" s="42">
        <v>115149</v>
      </c>
      <c r="M54" s="12">
        <v>26</v>
      </c>
      <c r="N54" s="43">
        <v>2.0000000000000001E-4</v>
      </c>
      <c r="O54" s="44">
        <v>25.59</v>
      </c>
      <c r="P54" s="44">
        <v>0.22</v>
      </c>
      <c r="Q54" s="44">
        <v>0.98</v>
      </c>
      <c r="R54" s="12">
        <v>1</v>
      </c>
      <c r="S54" s="44">
        <v>4.38</v>
      </c>
      <c r="T54" s="87"/>
      <c r="U54" s="56" t="s">
        <v>17</v>
      </c>
      <c r="V54" s="19">
        <f t="shared" si="95"/>
        <v>-472</v>
      </c>
      <c r="W54" s="19">
        <f t="shared" ref="W54:W67" si="100">D54+I54-M54</f>
        <v>1</v>
      </c>
      <c r="X54" s="44">
        <f t="shared" si="4"/>
        <v>-5.0000000000000711E-2</v>
      </c>
      <c r="Y54" s="17">
        <f>V54/C54</f>
        <v>-4.1159081594391205E-3</v>
      </c>
      <c r="Z54" s="17">
        <f>W54/D54</f>
        <v>4.5454545454545456E-2</v>
      </c>
    </row>
    <row r="55" spans="2:26" ht="15">
      <c r="B55" s="56" t="s">
        <v>18</v>
      </c>
      <c r="C55" s="48">
        <v>74004</v>
      </c>
      <c r="D55" s="49">
        <v>23</v>
      </c>
      <c r="E55" s="34">
        <f t="shared" ref="E55:E64" si="101">D55/C55</f>
        <v>3.1079401113453327E-4</v>
      </c>
      <c r="F55" s="50">
        <v>48.83</v>
      </c>
      <c r="G55" s="35">
        <f t="shared" ref="G55:G64" si="102">F55/C55*1000</f>
        <v>0.65982919842170695</v>
      </c>
      <c r="H55" s="35">
        <f t="shared" ref="H55:H64" si="103">F55/D55</f>
        <v>2.1230434782608696</v>
      </c>
      <c r="I55" s="49">
        <v>1</v>
      </c>
      <c r="J55" s="56" t="s">
        <v>18</v>
      </c>
      <c r="K55" s="86">
        <v>6.08E-2</v>
      </c>
      <c r="L55" s="39">
        <v>73369</v>
      </c>
      <c r="M55" s="13">
        <v>29</v>
      </c>
      <c r="N55" s="40">
        <v>4.0000000000000002E-4</v>
      </c>
      <c r="O55" s="41">
        <v>48.33</v>
      </c>
      <c r="P55" s="41">
        <v>0.66</v>
      </c>
      <c r="Q55" s="41">
        <v>1.67</v>
      </c>
      <c r="R55" s="13">
        <v>18</v>
      </c>
      <c r="S55" s="41">
        <v>280.42</v>
      </c>
      <c r="T55" s="88"/>
      <c r="U55" s="56" t="s">
        <v>18</v>
      </c>
      <c r="V55" s="19">
        <f t="shared" si="95"/>
        <v>635</v>
      </c>
      <c r="W55" s="19">
        <f t="shared" si="100"/>
        <v>-5</v>
      </c>
      <c r="X55" s="44">
        <f t="shared" si="4"/>
        <v>0.5</v>
      </c>
      <c r="Y55" s="17">
        <f t="shared" ref="Y55:Y64" si="104">V55/C55</f>
        <v>8.580617263931679E-3</v>
      </c>
      <c r="Z55" s="17">
        <f t="shared" ref="Z55:Z64" si="105">W55/D55</f>
        <v>-0.21739130434782608</v>
      </c>
    </row>
    <row r="56" spans="2:26" ht="15">
      <c r="B56" s="56" t="s">
        <v>19</v>
      </c>
      <c r="C56" s="30">
        <v>189519</v>
      </c>
      <c r="D56" s="52">
        <v>12</v>
      </c>
      <c r="E56" s="34">
        <f t="shared" si="101"/>
        <v>6.3318189732955535E-5</v>
      </c>
      <c r="F56" s="50">
        <v>30.02</v>
      </c>
      <c r="G56" s="35">
        <f t="shared" si="102"/>
        <v>0.15840100464861043</v>
      </c>
      <c r="H56" s="35">
        <f t="shared" si="103"/>
        <v>2.5016666666666665</v>
      </c>
      <c r="I56" s="16"/>
      <c r="J56" s="56" t="s">
        <v>19</v>
      </c>
      <c r="K56" s="85">
        <v>0.21240000000000001</v>
      </c>
      <c r="L56" s="42">
        <v>164246</v>
      </c>
      <c r="M56" s="12">
        <v>9</v>
      </c>
      <c r="N56" s="43">
        <v>1E-4</v>
      </c>
      <c r="O56" s="44">
        <v>26.07</v>
      </c>
      <c r="P56" s="44">
        <v>0.16</v>
      </c>
      <c r="Q56" s="44">
        <v>2.9</v>
      </c>
      <c r="R56" s="12">
        <v>0</v>
      </c>
      <c r="S56" s="44">
        <v>0</v>
      </c>
      <c r="T56" s="87"/>
      <c r="U56" s="56" t="s">
        <v>19</v>
      </c>
      <c r="V56" s="19">
        <f t="shared" si="95"/>
        <v>25273</v>
      </c>
      <c r="W56" s="19">
        <f t="shared" si="100"/>
        <v>3</v>
      </c>
      <c r="X56" s="44">
        <f t="shared" si="4"/>
        <v>3.9499999999999993</v>
      </c>
      <c r="Y56" s="17">
        <f t="shared" si="104"/>
        <v>0.13335338409341543</v>
      </c>
      <c r="Z56" s="17">
        <f t="shared" si="105"/>
        <v>0.25</v>
      </c>
    </row>
    <row r="57" spans="2:26" ht="15">
      <c r="B57" s="56" t="s">
        <v>28</v>
      </c>
      <c r="C57" s="30">
        <v>205801</v>
      </c>
      <c r="D57" s="52">
        <v>97</v>
      </c>
      <c r="E57" s="34">
        <f t="shared" si="101"/>
        <v>4.7132909946987622E-4</v>
      </c>
      <c r="F57" s="50">
        <v>60.74</v>
      </c>
      <c r="G57" s="35">
        <f t="shared" si="102"/>
        <v>0.2951394794000029</v>
      </c>
      <c r="H57" s="35">
        <f t="shared" si="103"/>
        <v>0.62618556701030925</v>
      </c>
      <c r="I57" s="16"/>
      <c r="J57" s="56" t="s">
        <v>28</v>
      </c>
      <c r="K57" s="85">
        <v>0.13769999999999999</v>
      </c>
      <c r="L57" s="42">
        <v>189975</v>
      </c>
      <c r="M57" s="12">
        <v>81</v>
      </c>
      <c r="N57" s="43">
        <v>4.0000000000000002E-4</v>
      </c>
      <c r="O57" s="44">
        <v>56.06</v>
      </c>
      <c r="P57" s="44">
        <v>0.3</v>
      </c>
      <c r="Q57" s="44">
        <v>0.69</v>
      </c>
      <c r="R57" s="12">
        <v>0</v>
      </c>
      <c r="S57" s="44">
        <v>0</v>
      </c>
      <c r="T57" s="89"/>
      <c r="U57" s="56" t="s">
        <v>28</v>
      </c>
      <c r="V57" s="19">
        <f t="shared" si="95"/>
        <v>15826</v>
      </c>
      <c r="W57" s="19">
        <f t="shared" si="100"/>
        <v>16</v>
      </c>
      <c r="X57" s="44">
        <f t="shared" si="4"/>
        <v>4.68</v>
      </c>
      <c r="Y57" s="17">
        <f t="shared" si="104"/>
        <v>7.6899529156806812E-2</v>
      </c>
      <c r="Z57" s="17">
        <f t="shared" si="105"/>
        <v>0.16494845360824742</v>
      </c>
    </row>
    <row r="58" spans="2:26" ht="15">
      <c r="B58" s="56" t="s">
        <v>20</v>
      </c>
      <c r="C58" s="48">
        <v>132309</v>
      </c>
      <c r="D58" s="49">
        <v>33</v>
      </c>
      <c r="E58" s="34">
        <f t="shared" si="101"/>
        <v>2.4941613949164455E-4</v>
      </c>
      <c r="F58" s="50">
        <v>33.299999999999997</v>
      </c>
      <c r="G58" s="35">
        <f t="shared" si="102"/>
        <v>0.25168355894156857</v>
      </c>
      <c r="H58" s="35">
        <f t="shared" si="103"/>
        <v>1.009090909090909</v>
      </c>
      <c r="I58" s="49">
        <v>2</v>
      </c>
      <c r="J58" s="56" t="s">
        <v>20</v>
      </c>
      <c r="K58" s="53">
        <v>8.3999999999999995E-3</v>
      </c>
      <c r="L58" s="39">
        <v>133044</v>
      </c>
      <c r="M58" s="13">
        <v>35</v>
      </c>
      <c r="N58" s="40">
        <v>2.9999999999999997E-4</v>
      </c>
      <c r="O58" s="41">
        <v>33.479999999999997</v>
      </c>
      <c r="P58" s="41">
        <v>0.25</v>
      </c>
      <c r="Q58" s="41">
        <v>0.96</v>
      </c>
      <c r="R58" s="13">
        <v>6</v>
      </c>
      <c r="S58" s="41">
        <v>232.61</v>
      </c>
      <c r="T58" s="88"/>
      <c r="U58" s="56" t="s">
        <v>20</v>
      </c>
      <c r="V58" s="19">
        <f t="shared" si="95"/>
        <v>-735</v>
      </c>
      <c r="W58" s="19">
        <f t="shared" si="100"/>
        <v>0</v>
      </c>
      <c r="X58" s="44">
        <f t="shared" si="4"/>
        <v>-0.17999999999999972</v>
      </c>
      <c r="Y58" s="17">
        <f t="shared" si="104"/>
        <v>-5.5551776523139014E-3</v>
      </c>
      <c r="Z58" s="17">
        <f t="shared" si="105"/>
        <v>0</v>
      </c>
    </row>
    <row r="59" spans="2:26" ht="15">
      <c r="B59" s="56" t="s">
        <v>21</v>
      </c>
      <c r="C59" s="48">
        <v>74726</v>
      </c>
      <c r="D59" s="49">
        <v>56</v>
      </c>
      <c r="E59" s="34">
        <f t="shared" si="101"/>
        <v>7.4940449107405724E-4</v>
      </c>
      <c r="F59" s="50">
        <v>57.55</v>
      </c>
      <c r="G59" s="35">
        <f t="shared" si="102"/>
        <v>0.7701469368091427</v>
      </c>
      <c r="H59" s="35">
        <f t="shared" si="103"/>
        <v>1.0276785714285714</v>
      </c>
      <c r="I59" s="49">
        <v>0</v>
      </c>
      <c r="J59" s="56" t="s">
        <v>21</v>
      </c>
      <c r="K59" s="53">
        <v>0.31519999999999998</v>
      </c>
      <c r="L59" s="42">
        <v>74545</v>
      </c>
      <c r="M59" s="12">
        <v>56</v>
      </c>
      <c r="N59" s="43">
        <v>8.0000000000000004E-4</v>
      </c>
      <c r="O59" s="44">
        <v>57.36</v>
      </c>
      <c r="P59" s="44">
        <v>0.77</v>
      </c>
      <c r="Q59" s="44">
        <v>1.02</v>
      </c>
      <c r="R59" s="12">
        <v>20</v>
      </c>
      <c r="S59" s="44">
        <v>1831.95</v>
      </c>
      <c r="T59" s="87"/>
      <c r="U59" s="56" t="s">
        <v>21</v>
      </c>
      <c r="V59" s="19">
        <f t="shared" si="95"/>
        <v>181</v>
      </c>
      <c r="W59" s="19">
        <f t="shared" si="100"/>
        <v>0</v>
      </c>
      <c r="X59" s="44">
        <f t="shared" si="4"/>
        <v>0.18999999999999773</v>
      </c>
      <c r="Y59" s="17">
        <f t="shared" si="104"/>
        <v>2.4221823729357922E-3</v>
      </c>
      <c r="Z59" s="17">
        <f t="shared" si="105"/>
        <v>0</v>
      </c>
    </row>
    <row r="60" spans="2:26" ht="15">
      <c r="B60" s="56" t="s">
        <v>53</v>
      </c>
      <c r="C60" s="48">
        <v>124019</v>
      </c>
      <c r="D60" s="49">
        <v>27</v>
      </c>
      <c r="E60" s="34">
        <f t="shared" si="101"/>
        <v>2.1770857691160225E-4</v>
      </c>
      <c r="F60" s="50">
        <v>31.51</v>
      </c>
      <c r="G60" s="35">
        <f t="shared" si="102"/>
        <v>0.25407397253646619</v>
      </c>
      <c r="H60" s="35">
        <f t="shared" si="103"/>
        <v>1.1670370370370371</v>
      </c>
      <c r="I60" s="49">
        <v>5</v>
      </c>
      <c r="J60" s="56" t="s">
        <v>53</v>
      </c>
      <c r="K60" s="53">
        <v>6.0000000000000001E-3</v>
      </c>
      <c r="L60" s="42">
        <v>125013</v>
      </c>
      <c r="M60" s="12">
        <v>32</v>
      </c>
      <c r="N60" s="43">
        <v>2.9999999999999997E-4</v>
      </c>
      <c r="O60" s="44">
        <v>31.76</v>
      </c>
      <c r="P60" s="44">
        <v>0.25</v>
      </c>
      <c r="Q60" s="44">
        <v>0.99</v>
      </c>
      <c r="R60" s="12">
        <v>0</v>
      </c>
      <c r="S60" s="44">
        <v>0</v>
      </c>
      <c r="T60" s="87"/>
      <c r="U60" s="56" t="s">
        <v>53</v>
      </c>
      <c r="V60" s="19">
        <f t="shared" si="95"/>
        <v>-994</v>
      </c>
      <c r="W60" s="19">
        <f t="shared" si="100"/>
        <v>0</v>
      </c>
      <c r="X60" s="44">
        <f t="shared" si="4"/>
        <v>-0.25</v>
      </c>
      <c r="Y60" s="17">
        <f t="shared" si="104"/>
        <v>-8.0149009425975054E-3</v>
      </c>
      <c r="Z60" s="17">
        <f t="shared" si="105"/>
        <v>0</v>
      </c>
    </row>
    <row r="61" spans="2:26" ht="15">
      <c r="B61" s="56" t="s">
        <v>54</v>
      </c>
      <c r="C61" s="48">
        <v>50272</v>
      </c>
      <c r="D61" s="49">
        <v>10</v>
      </c>
      <c r="E61" s="34">
        <f t="shared" si="101"/>
        <v>1.9891788669637174E-4</v>
      </c>
      <c r="F61" s="50">
        <v>12.71</v>
      </c>
      <c r="G61" s="35">
        <f t="shared" si="102"/>
        <v>0.25282463399108851</v>
      </c>
      <c r="H61" s="35">
        <f t="shared" si="103"/>
        <v>1.2710000000000001</v>
      </c>
      <c r="I61" s="49">
        <v>2</v>
      </c>
      <c r="J61" s="56" t="s">
        <v>54</v>
      </c>
      <c r="K61" s="53">
        <v>8.8000000000000005E-3</v>
      </c>
      <c r="L61" s="42">
        <v>52042</v>
      </c>
      <c r="M61" s="12">
        <v>14</v>
      </c>
      <c r="N61" s="43">
        <v>2.9999999999999997E-4</v>
      </c>
      <c r="O61" s="44">
        <v>13.19</v>
      </c>
      <c r="P61" s="44">
        <v>0.25</v>
      </c>
      <c r="Q61" s="44">
        <v>0.94</v>
      </c>
      <c r="R61" s="12">
        <v>0</v>
      </c>
      <c r="S61" s="44">
        <v>0</v>
      </c>
      <c r="T61" s="87"/>
      <c r="U61" s="56" t="s">
        <v>54</v>
      </c>
      <c r="V61" s="19">
        <f t="shared" si="95"/>
        <v>-1770</v>
      </c>
      <c r="W61" s="19">
        <f t="shared" si="100"/>
        <v>-2</v>
      </c>
      <c r="X61" s="44">
        <f t="shared" si="4"/>
        <v>-0.47999999999999865</v>
      </c>
      <c r="Y61" s="17">
        <f t="shared" si="104"/>
        <v>-3.5208465945257797E-2</v>
      </c>
      <c r="Z61" s="17">
        <f t="shared" si="105"/>
        <v>-0.2</v>
      </c>
    </row>
    <row r="62" spans="2:26" ht="15">
      <c r="B62" s="56" t="s">
        <v>55</v>
      </c>
      <c r="C62" s="48">
        <v>18858</v>
      </c>
      <c r="D62" s="49">
        <v>13</v>
      </c>
      <c r="E62" s="34">
        <f t="shared" si="101"/>
        <v>6.8936260473008806E-4</v>
      </c>
      <c r="F62" s="50">
        <v>4.16</v>
      </c>
      <c r="G62" s="35">
        <f t="shared" si="102"/>
        <v>0.22059603351362816</v>
      </c>
      <c r="H62" s="35">
        <f t="shared" si="103"/>
        <v>0.32</v>
      </c>
      <c r="I62" s="49">
        <v>0</v>
      </c>
      <c r="J62" s="56" t="s">
        <v>55</v>
      </c>
      <c r="K62" s="53">
        <v>2.2700000000000001E-2</v>
      </c>
      <c r="L62" s="42">
        <v>18683</v>
      </c>
      <c r="M62" s="12">
        <v>13</v>
      </c>
      <c r="N62" s="43">
        <v>6.9999999999999999E-4</v>
      </c>
      <c r="O62" s="44">
        <v>4.1100000000000003</v>
      </c>
      <c r="P62" s="44">
        <v>0.22</v>
      </c>
      <c r="Q62" s="44">
        <v>0.32</v>
      </c>
      <c r="R62" s="12">
        <v>0</v>
      </c>
      <c r="S62" s="44">
        <v>0</v>
      </c>
      <c r="T62" s="87"/>
      <c r="U62" s="56" t="s">
        <v>55</v>
      </c>
      <c r="V62" s="19">
        <f t="shared" si="95"/>
        <v>175</v>
      </c>
      <c r="W62" s="19">
        <f t="shared" si="100"/>
        <v>0</v>
      </c>
      <c r="X62" s="44">
        <f>F62-O62</f>
        <v>4.9999999999999822E-2</v>
      </c>
      <c r="Y62" s="17">
        <f t="shared" si="104"/>
        <v>9.2798812175204151E-3</v>
      </c>
      <c r="Z62" s="17">
        <f t="shared" si="105"/>
        <v>0</v>
      </c>
    </row>
    <row r="63" spans="2:26" ht="15">
      <c r="B63" s="56" t="s">
        <v>56</v>
      </c>
      <c r="C63" s="48">
        <v>18786</v>
      </c>
      <c r="D63" s="49">
        <v>9</v>
      </c>
      <c r="E63" s="34">
        <f t="shared" si="101"/>
        <v>4.7908016608112422E-4</v>
      </c>
      <c r="F63" s="50">
        <v>4.12</v>
      </c>
      <c r="G63" s="35">
        <f t="shared" si="102"/>
        <v>0.21931225380602579</v>
      </c>
      <c r="H63" s="35">
        <f t="shared" si="103"/>
        <v>0.45777777777777778</v>
      </c>
      <c r="I63" s="49">
        <v>0</v>
      </c>
      <c r="J63" s="56" t="s">
        <v>56</v>
      </c>
      <c r="K63" s="53">
        <v>2.23E-2</v>
      </c>
      <c r="L63" s="42">
        <v>18614</v>
      </c>
      <c r="M63" s="12">
        <v>9</v>
      </c>
      <c r="N63" s="43">
        <v>5.0000000000000001E-4</v>
      </c>
      <c r="O63" s="44">
        <v>4.08</v>
      </c>
      <c r="P63" s="44">
        <v>0.22</v>
      </c>
      <c r="Q63" s="44">
        <v>0.45</v>
      </c>
      <c r="R63" s="12">
        <v>0</v>
      </c>
      <c r="S63" s="44">
        <v>0</v>
      </c>
      <c r="T63" s="87"/>
      <c r="U63" s="56" t="s">
        <v>56</v>
      </c>
      <c r="V63" s="19">
        <f t="shared" si="95"/>
        <v>172</v>
      </c>
      <c r="W63" s="19">
        <f t="shared" si="100"/>
        <v>0</v>
      </c>
      <c r="X63" s="44">
        <f t="shared" si="4"/>
        <v>4.0000000000000036E-2</v>
      </c>
      <c r="Y63" s="17">
        <f t="shared" si="104"/>
        <v>9.1557542851059305E-3</v>
      </c>
      <c r="Z63" s="17">
        <f t="shared" si="105"/>
        <v>0</v>
      </c>
    </row>
    <row r="64" spans="2:26" ht="15">
      <c r="B64" s="56" t="s">
        <v>57</v>
      </c>
      <c r="C64" s="49">
        <v>78</v>
      </c>
      <c r="D64" s="49">
        <v>0</v>
      </c>
      <c r="E64" s="34">
        <f t="shared" si="101"/>
        <v>0</v>
      </c>
      <c r="F64" s="50">
        <v>0.05</v>
      </c>
      <c r="G64" s="35">
        <f t="shared" si="102"/>
        <v>0.64102564102564108</v>
      </c>
      <c r="H64" s="35" t="e">
        <f t="shared" si="103"/>
        <v>#DIV/0!</v>
      </c>
      <c r="I64" s="49">
        <v>0</v>
      </c>
      <c r="J64" s="56" t="s">
        <v>57</v>
      </c>
      <c r="K64" s="53">
        <v>0.20599999999999999</v>
      </c>
      <c r="L64" s="42">
        <v>76</v>
      </c>
      <c r="M64" s="12">
        <v>0</v>
      </c>
      <c r="N64" s="43">
        <v>0</v>
      </c>
      <c r="O64" s="44">
        <v>0.04</v>
      </c>
      <c r="P64" s="44"/>
      <c r="Q64" s="44"/>
      <c r="R64" s="12"/>
      <c r="S64" s="44"/>
      <c r="T64" s="87"/>
      <c r="U64" s="56" t="s">
        <v>57</v>
      </c>
      <c r="V64" s="19">
        <f t="shared" si="95"/>
        <v>2</v>
      </c>
      <c r="W64" s="19">
        <f t="shared" si="100"/>
        <v>0</v>
      </c>
      <c r="X64" s="44">
        <f t="shared" si="4"/>
        <v>1.0000000000000002E-2</v>
      </c>
      <c r="Y64" s="17">
        <f t="shared" si="104"/>
        <v>2.564102564102564E-2</v>
      </c>
      <c r="Z64" s="17" t="e">
        <f t="shared" si="105"/>
        <v>#DIV/0!</v>
      </c>
    </row>
    <row r="65" spans="2:26" s="8" customFormat="1" ht="15">
      <c r="B65" s="59"/>
      <c r="C65" s="30">
        <f>SUM(C54:C64)</f>
        <v>1003049</v>
      </c>
      <c r="D65" s="30">
        <f>SUM(D54:D64)</f>
        <v>302</v>
      </c>
      <c r="E65" s="17"/>
      <c r="F65" s="44">
        <f>SUM(F54:F64)</f>
        <v>308.53000000000003</v>
      </c>
      <c r="G65" s="35"/>
      <c r="H65" s="35"/>
      <c r="I65" s="32"/>
      <c r="J65" s="59"/>
      <c r="K65" s="55"/>
      <c r="L65" s="30">
        <f>SUM(L54:L64)</f>
        <v>964756</v>
      </c>
      <c r="M65" s="30">
        <f>SUM(M54:M64)</f>
        <v>304</v>
      </c>
      <c r="N65" s="43"/>
      <c r="O65" s="44">
        <f>SUM(O54:O64)</f>
        <v>300.07</v>
      </c>
      <c r="P65" s="44"/>
      <c r="Q65" s="44"/>
      <c r="R65" s="12"/>
      <c r="S65" s="44"/>
      <c r="T65" s="12"/>
      <c r="U65" s="59"/>
      <c r="V65" s="19"/>
      <c r="W65" s="19"/>
      <c r="X65" s="44"/>
      <c r="Y65" s="17"/>
      <c r="Z65" s="17"/>
    </row>
    <row r="66" spans="2:26" ht="15">
      <c r="B66" s="71">
        <v>41207</v>
      </c>
      <c r="C66" s="140"/>
      <c r="D66" s="138"/>
      <c r="E66" s="138"/>
      <c r="F66" s="138"/>
      <c r="G66" s="138"/>
      <c r="H66" s="138"/>
      <c r="I66" s="139"/>
      <c r="J66" s="71">
        <v>41207</v>
      </c>
      <c r="K66" s="15"/>
      <c r="L66" s="18"/>
      <c r="M66" s="18"/>
      <c r="N66" s="17"/>
      <c r="O66" s="22"/>
      <c r="P66" s="22"/>
      <c r="Q66" s="22"/>
      <c r="R66" s="18"/>
      <c r="S66" s="22"/>
      <c r="T66" s="18"/>
      <c r="U66" s="71">
        <v>41207</v>
      </c>
      <c r="V66" s="19"/>
      <c r="W66" s="19"/>
      <c r="X66" s="44"/>
      <c r="Y66" s="17"/>
      <c r="Z66" s="17"/>
    </row>
    <row r="67" spans="2:26" ht="15">
      <c r="B67" s="56" t="s">
        <v>30</v>
      </c>
      <c r="C67" s="48">
        <v>87395</v>
      </c>
      <c r="D67" s="49">
        <v>24</v>
      </c>
      <c r="E67" s="75">
        <f>D67/C67</f>
        <v>2.7461525258882087E-4</v>
      </c>
      <c r="F67" s="50">
        <v>31.07</v>
      </c>
      <c r="G67" s="35">
        <f>F67/C67*1000</f>
        <v>0.35551232908061103</v>
      </c>
      <c r="H67" s="35">
        <f>F67/D67</f>
        <v>1.2945833333333334</v>
      </c>
      <c r="I67" s="49">
        <v>2</v>
      </c>
      <c r="J67" s="56" t="s">
        <v>30</v>
      </c>
      <c r="K67" s="53">
        <v>1.46E-2</v>
      </c>
      <c r="L67" s="9">
        <v>93450</v>
      </c>
      <c r="M67" s="10">
        <v>28</v>
      </c>
      <c r="N67" s="33">
        <v>2.9999999999999997E-4</v>
      </c>
      <c r="O67" s="11">
        <v>33.229999999999997</v>
      </c>
      <c r="P67" s="11">
        <v>0.36</v>
      </c>
      <c r="Q67" s="11">
        <v>1.19</v>
      </c>
      <c r="R67" s="10">
        <v>0</v>
      </c>
      <c r="S67" s="11">
        <v>0</v>
      </c>
      <c r="T67" s="12"/>
      <c r="U67" s="56" t="s">
        <v>30</v>
      </c>
      <c r="V67" s="19">
        <f t="shared" si="95"/>
        <v>-6055</v>
      </c>
      <c r="W67" s="19">
        <f t="shared" si="100"/>
        <v>-2</v>
      </c>
      <c r="X67" s="44">
        <f t="shared" si="4"/>
        <v>-2.1599999999999966</v>
      </c>
      <c r="Y67" s="17">
        <f t="shared" ref="Y67" si="106">V67/C67</f>
        <v>-6.9283139767721269E-2</v>
      </c>
      <c r="Z67" s="17">
        <f>W67/D67</f>
        <v>-8.3333333333333329E-2</v>
      </c>
    </row>
    <row r="68" spans="2:26" ht="15">
      <c r="B68" s="56" t="s">
        <v>59</v>
      </c>
      <c r="C68" s="48">
        <v>28363</v>
      </c>
      <c r="D68" s="49">
        <v>6</v>
      </c>
      <c r="E68" s="75">
        <f t="shared" ref="E68:E77" si="107">D68/C68</f>
        <v>2.1154320770017275E-4</v>
      </c>
      <c r="F68" s="50">
        <v>5.82</v>
      </c>
      <c r="G68" s="35">
        <f t="shared" ref="G68:G77" si="108">F68/C68*1000</f>
        <v>0.20519691146916758</v>
      </c>
      <c r="H68" s="35">
        <f t="shared" ref="H68:H77" si="109">F68/D68</f>
        <v>0.97000000000000008</v>
      </c>
      <c r="I68" s="49">
        <v>0</v>
      </c>
      <c r="J68" s="56" t="s">
        <v>59</v>
      </c>
      <c r="K68" s="53">
        <v>2.58E-2</v>
      </c>
      <c r="L68" s="39">
        <v>28231</v>
      </c>
      <c r="M68" s="13">
        <v>6</v>
      </c>
      <c r="N68" s="40">
        <v>2.0000000000000001E-4</v>
      </c>
      <c r="O68" s="41">
        <v>5.79</v>
      </c>
      <c r="P68" s="41">
        <v>0.21</v>
      </c>
      <c r="Q68" s="41">
        <v>0.96</v>
      </c>
      <c r="R68" s="13">
        <v>0</v>
      </c>
      <c r="S68" s="41">
        <v>0</v>
      </c>
      <c r="T68" s="87"/>
      <c r="U68" s="56" t="s">
        <v>59</v>
      </c>
      <c r="V68" s="19">
        <f t="shared" ref="V68:V77" si="110">C68-L68</f>
        <v>132</v>
      </c>
      <c r="W68" s="19">
        <f t="shared" ref="W68:W77" si="111">D68+I68-M68</f>
        <v>0</v>
      </c>
      <c r="X68" s="44">
        <f t="shared" ref="X68:X77" si="112">F68-O68</f>
        <v>3.0000000000000249E-2</v>
      </c>
      <c r="Y68" s="17">
        <f t="shared" ref="Y68:Y77" si="113">V68/C68</f>
        <v>4.6539505694038006E-3</v>
      </c>
      <c r="Z68" s="17">
        <f t="shared" ref="Z68:Z77" si="114">W68/D68</f>
        <v>0</v>
      </c>
    </row>
    <row r="69" spans="2:26" ht="15">
      <c r="B69" s="56" t="s">
        <v>60</v>
      </c>
      <c r="C69" s="49">
        <v>591</v>
      </c>
      <c r="D69" s="49">
        <v>1</v>
      </c>
      <c r="E69" s="75">
        <f t="shared" si="107"/>
        <v>1.6920473773265651E-3</v>
      </c>
      <c r="F69" s="50">
        <v>0.39</v>
      </c>
      <c r="G69" s="35">
        <f t="shared" si="108"/>
        <v>0.65989847715736039</v>
      </c>
      <c r="H69" s="35">
        <f t="shared" si="109"/>
        <v>0.39</v>
      </c>
      <c r="I69" s="49">
        <v>0</v>
      </c>
      <c r="J69" s="56" t="s">
        <v>60</v>
      </c>
      <c r="K69" s="53">
        <v>0.10059999999999999</v>
      </c>
      <c r="L69" s="42">
        <v>576</v>
      </c>
      <c r="M69" s="12">
        <v>1</v>
      </c>
      <c r="N69" s="40">
        <f>M69/L69</f>
        <v>1.736111111111111E-3</v>
      </c>
      <c r="O69" s="44">
        <v>0.38</v>
      </c>
      <c r="P69" s="41">
        <f>O69/L69*1000</f>
        <v>0.65972222222222221</v>
      </c>
      <c r="Q69" s="41">
        <f>O69/M69</f>
        <v>0.38</v>
      </c>
      <c r="R69" s="13">
        <v>0</v>
      </c>
      <c r="S69" s="41">
        <v>0</v>
      </c>
      <c r="T69" s="87"/>
      <c r="U69" s="56" t="s">
        <v>60</v>
      </c>
      <c r="V69" s="19">
        <f t="shared" si="110"/>
        <v>15</v>
      </c>
      <c r="W69" s="19">
        <f t="shared" si="111"/>
        <v>0</v>
      </c>
      <c r="X69" s="44">
        <f t="shared" si="112"/>
        <v>1.0000000000000009E-2</v>
      </c>
      <c r="Y69" s="17">
        <f t="shared" si="113"/>
        <v>2.5380710659898477E-2</v>
      </c>
      <c r="Z69" s="17">
        <f t="shared" si="114"/>
        <v>0</v>
      </c>
    </row>
    <row r="70" spans="2:26" ht="15">
      <c r="B70" s="56" t="s">
        <v>61</v>
      </c>
      <c r="C70" s="48">
        <v>28688</v>
      </c>
      <c r="D70" s="49">
        <v>12</v>
      </c>
      <c r="E70" s="75">
        <f t="shared" si="107"/>
        <v>4.1829336307863918E-4</v>
      </c>
      <c r="F70" s="50">
        <v>5.86</v>
      </c>
      <c r="G70" s="35">
        <f t="shared" si="108"/>
        <v>0.20426659230340213</v>
      </c>
      <c r="H70" s="35">
        <f t="shared" si="109"/>
        <v>0.48833333333333334</v>
      </c>
      <c r="I70" s="49">
        <v>1</v>
      </c>
      <c r="J70" s="56" t="s">
        <v>61</v>
      </c>
      <c r="K70" s="54">
        <v>2.5499999999999998E-2</v>
      </c>
      <c r="L70" s="42">
        <v>28564</v>
      </c>
      <c r="M70" s="12">
        <v>12</v>
      </c>
      <c r="N70" s="40">
        <v>2.0000000000000001E-4</v>
      </c>
      <c r="O70" s="44">
        <v>5.83</v>
      </c>
      <c r="P70" s="44">
        <v>0.2</v>
      </c>
      <c r="Q70" s="44">
        <v>0.49</v>
      </c>
      <c r="R70" s="12">
        <v>0</v>
      </c>
      <c r="S70" s="44">
        <v>0</v>
      </c>
      <c r="T70" s="87"/>
      <c r="U70" s="56" t="s">
        <v>61</v>
      </c>
      <c r="V70" s="19">
        <f t="shared" si="110"/>
        <v>124</v>
      </c>
      <c r="W70" s="19">
        <f t="shared" si="111"/>
        <v>1</v>
      </c>
      <c r="X70" s="44">
        <f t="shared" si="112"/>
        <v>3.0000000000000249E-2</v>
      </c>
      <c r="Y70" s="17">
        <f t="shared" si="113"/>
        <v>4.3223647518126048E-3</v>
      </c>
      <c r="Z70" s="17">
        <f t="shared" si="114"/>
        <v>8.3333333333333329E-2</v>
      </c>
    </row>
    <row r="71" spans="2:26" ht="15">
      <c r="B71" s="56" t="s">
        <v>32</v>
      </c>
      <c r="C71" s="48">
        <v>104992</v>
      </c>
      <c r="D71" s="49">
        <v>12</v>
      </c>
      <c r="E71" s="75">
        <f t="shared" si="107"/>
        <v>1.1429442243218532E-4</v>
      </c>
      <c r="F71" s="50">
        <v>33.86</v>
      </c>
      <c r="G71" s="35">
        <f t="shared" si="108"/>
        <v>0.32250076196281624</v>
      </c>
      <c r="H71" s="35">
        <f t="shared" si="109"/>
        <v>2.8216666666666668</v>
      </c>
      <c r="I71" s="49">
        <v>1</v>
      </c>
      <c r="J71" s="56" t="s">
        <v>32</v>
      </c>
      <c r="K71" s="54">
        <v>4.7800000000000002E-2</v>
      </c>
      <c r="L71" s="9">
        <v>111347</v>
      </c>
      <c r="M71" s="10">
        <v>13</v>
      </c>
      <c r="N71" s="33">
        <v>1E-4</v>
      </c>
      <c r="O71" s="11">
        <v>35.97</v>
      </c>
      <c r="P71" s="11">
        <v>0.32</v>
      </c>
      <c r="Q71" s="11">
        <v>2.77</v>
      </c>
      <c r="R71" s="10">
        <v>1</v>
      </c>
      <c r="S71" s="11">
        <v>42.98</v>
      </c>
      <c r="T71" s="87"/>
      <c r="U71" s="56" t="s">
        <v>32</v>
      </c>
      <c r="V71" s="19">
        <f t="shared" si="110"/>
        <v>-6355</v>
      </c>
      <c r="W71" s="19">
        <f t="shared" si="111"/>
        <v>0</v>
      </c>
      <c r="X71" s="44">
        <f t="shared" si="112"/>
        <v>-2.1099999999999994</v>
      </c>
      <c r="Y71" s="17">
        <f t="shared" si="113"/>
        <v>-6.0528421213044803E-2</v>
      </c>
      <c r="Z71" s="17">
        <f t="shared" si="114"/>
        <v>0</v>
      </c>
    </row>
    <row r="72" spans="2:26" ht="15">
      <c r="B72" s="56" t="s">
        <v>62</v>
      </c>
      <c r="C72" s="48">
        <v>141596</v>
      </c>
      <c r="D72" s="49">
        <v>51</v>
      </c>
      <c r="E72" s="75">
        <f t="shared" si="107"/>
        <v>3.6017966609226248E-4</v>
      </c>
      <c r="F72" s="50">
        <v>54.14</v>
      </c>
      <c r="G72" s="35">
        <f t="shared" si="108"/>
        <v>0.38235543376931552</v>
      </c>
      <c r="H72" s="35">
        <f t="shared" si="109"/>
        <v>1.0615686274509804</v>
      </c>
      <c r="I72" s="49">
        <v>4</v>
      </c>
      <c r="J72" s="56" t="s">
        <v>62</v>
      </c>
      <c r="K72" s="54">
        <v>1.8700000000000001E-2</v>
      </c>
      <c r="L72" s="39">
        <v>142340</v>
      </c>
      <c r="M72" s="13">
        <v>55</v>
      </c>
      <c r="N72" s="40">
        <v>4.0000000000000002E-4</v>
      </c>
      <c r="O72" s="41">
        <v>54.43</v>
      </c>
      <c r="P72" s="41">
        <v>0.38</v>
      </c>
      <c r="Q72" s="41">
        <v>0.99</v>
      </c>
      <c r="R72" s="13">
        <v>2</v>
      </c>
      <c r="S72" s="41">
        <v>124.98</v>
      </c>
      <c r="T72" s="87"/>
      <c r="U72" s="56" t="s">
        <v>62</v>
      </c>
      <c r="V72" s="19">
        <f t="shared" si="110"/>
        <v>-744</v>
      </c>
      <c r="W72" s="19">
        <f t="shared" si="111"/>
        <v>0</v>
      </c>
      <c r="X72" s="44">
        <f t="shared" si="112"/>
        <v>-0.28999999999999915</v>
      </c>
      <c r="Y72" s="17">
        <f t="shared" si="113"/>
        <v>-5.2543857171106524E-3</v>
      </c>
      <c r="Z72" s="17">
        <f t="shared" si="114"/>
        <v>0</v>
      </c>
    </row>
    <row r="73" spans="2:26" ht="15">
      <c r="B73" s="56" t="s">
        <v>63</v>
      </c>
      <c r="C73" s="48">
        <v>64983</v>
      </c>
      <c r="D73" s="49">
        <v>54</v>
      </c>
      <c r="E73" s="75">
        <f t="shared" si="107"/>
        <v>8.3098656571718753E-4</v>
      </c>
      <c r="F73" s="50">
        <v>56.44</v>
      </c>
      <c r="G73" s="35">
        <f t="shared" si="108"/>
        <v>0.8685348475755198</v>
      </c>
      <c r="H73" s="35">
        <f t="shared" si="109"/>
        <v>1.0451851851851852</v>
      </c>
      <c r="I73" s="49">
        <v>1</v>
      </c>
      <c r="J73" s="56" t="s">
        <v>63</v>
      </c>
      <c r="K73" s="54">
        <v>0.26640000000000003</v>
      </c>
      <c r="L73" s="42">
        <v>64994</v>
      </c>
      <c r="M73" s="12">
        <v>54</v>
      </c>
      <c r="N73" s="43">
        <v>8.0000000000000004E-4</v>
      </c>
      <c r="O73" s="44">
        <v>56.41</v>
      </c>
      <c r="P73" s="44">
        <v>0.87</v>
      </c>
      <c r="Q73" s="44">
        <v>1.04</v>
      </c>
      <c r="R73" s="12">
        <v>42</v>
      </c>
      <c r="S73" s="44">
        <v>2350.75</v>
      </c>
      <c r="T73" s="87"/>
      <c r="U73" s="56" t="s">
        <v>63</v>
      </c>
      <c r="V73" s="19">
        <f t="shared" si="110"/>
        <v>-11</v>
      </c>
      <c r="W73" s="19">
        <f t="shared" si="111"/>
        <v>1</v>
      </c>
      <c r="X73" s="44">
        <f t="shared" si="112"/>
        <v>3.0000000000001137E-2</v>
      </c>
      <c r="Y73" s="17">
        <f t="shared" si="113"/>
        <v>-1.6927504116461228E-4</v>
      </c>
      <c r="Z73" s="17">
        <f t="shared" si="114"/>
        <v>1.8518518518518517E-2</v>
      </c>
    </row>
    <row r="74" spans="2:26" ht="15">
      <c r="B74" s="56" t="s">
        <v>64</v>
      </c>
      <c r="C74" s="48">
        <v>354599</v>
      </c>
      <c r="D74" s="49">
        <v>47</v>
      </c>
      <c r="E74" s="75">
        <f t="shared" si="107"/>
        <v>1.3254408500869996E-4</v>
      </c>
      <c r="F74" s="50">
        <v>90.99</v>
      </c>
      <c r="G74" s="35">
        <f t="shared" si="108"/>
        <v>0.25659970840301294</v>
      </c>
      <c r="H74" s="35">
        <f t="shared" si="109"/>
        <v>1.9359574468085106</v>
      </c>
      <c r="I74" s="49">
        <v>18</v>
      </c>
      <c r="J74" s="56" t="s">
        <v>64</v>
      </c>
      <c r="K74" s="54">
        <v>6.8900000000000003E-2</v>
      </c>
      <c r="L74" s="42">
        <v>357358</v>
      </c>
      <c r="M74" s="12">
        <v>64</v>
      </c>
      <c r="N74" s="43">
        <v>2.0000000000000001E-4</v>
      </c>
      <c r="O74" s="44">
        <v>91.23</v>
      </c>
      <c r="P74" s="44">
        <v>0.26</v>
      </c>
      <c r="Q74" s="44">
        <v>1.43</v>
      </c>
      <c r="R74" s="12">
        <v>1</v>
      </c>
      <c r="S74" s="44">
        <v>14.49</v>
      </c>
      <c r="T74" s="87"/>
      <c r="U74" s="56" t="s">
        <v>64</v>
      </c>
      <c r="V74" s="19">
        <f t="shared" si="110"/>
        <v>-2759</v>
      </c>
      <c r="W74" s="19">
        <f t="shared" si="111"/>
        <v>1</v>
      </c>
      <c r="X74" s="44">
        <f t="shared" si="112"/>
        <v>-0.24000000000000909</v>
      </c>
      <c r="Y74" s="17">
        <f t="shared" si="113"/>
        <v>-7.7806197987021963E-3</v>
      </c>
      <c r="Z74" s="17">
        <f t="shared" si="114"/>
        <v>2.1276595744680851E-2</v>
      </c>
    </row>
    <row r="75" spans="2:26" ht="15">
      <c r="B75" s="56" t="s">
        <v>65</v>
      </c>
      <c r="C75" s="48">
        <v>86614</v>
      </c>
      <c r="D75" s="49">
        <v>18</v>
      </c>
      <c r="E75" s="75">
        <f t="shared" si="107"/>
        <v>2.0781859745537672E-4</v>
      </c>
      <c r="F75" s="50">
        <v>60.05</v>
      </c>
      <c r="G75" s="35">
        <f t="shared" si="108"/>
        <v>0.69330593206640956</v>
      </c>
      <c r="H75" s="35">
        <f t="shared" si="109"/>
        <v>3.3361111111111108</v>
      </c>
      <c r="I75" s="49">
        <v>0</v>
      </c>
      <c r="J75" s="56" t="s">
        <v>65</v>
      </c>
      <c r="K75" s="54">
        <v>4.02E-2</v>
      </c>
      <c r="L75" s="39">
        <v>86926</v>
      </c>
      <c r="M75" s="13">
        <v>18</v>
      </c>
      <c r="N75" s="40">
        <v>2.0000000000000001E-4</v>
      </c>
      <c r="O75" s="41">
        <v>60.17</v>
      </c>
      <c r="P75" s="41">
        <v>0.69</v>
      </c>
      <c r="Q75" s="41">
        <v>3.34</v>
      </c>
      <c r="R75" s="13">
        <v>27</v>
      </c>
      <c r="S75" s="41">
        <v>576.69000000000005</v>
      </c>
      <c r="T75" s="87"/>
      <c r="U75" s="56" t="s">
        <v>65</v>
      </c>
      <c r="V75" s="19">
        <f t="shared" si="110"/>
        <v>-312</v>
      </c>
      <c r="W75" s="19">
        <f t="shared" si="111"/>
        <v>0</v>
      </c>
      <c r="X75" s="44">
        <f t="shared" si="112"/>
        <v>-0.12000000000000455</v>
      </c>
      <c r="Y75" s="17">
        <f t="shared" si="113"/>
        <v>-3.6021890225598633E-3</v>
      </c>
      <c r="Z75" s="17">
        <f t="shared" si="114"/>
        <v>0</v>
      </c>
    </row>
    <row r="76" spans="2:26" ht="15">
      <c r="B76" s="56" t="s">
        <v>73</v>
      </c>
      <c r="C76" s="7">
        <v>535398</v>
      </c>
      <c r="D76" s="90">
        <v>630</v>
      </c>
      <c r="E76" s="75">
        <f>D76/C76</f>
        <v>1.1766947205630203E-3</v>
      </c>
      <c r="F76" s="50">
        <v>99.03</v>
      </c>
      <c r="G76" s="35">
        <f t="shared" si="108"/>
        <v>0.1849652034561205</v>
      </c>
      <c r="H76" s="35">
        <f t="shared" si="109"/>
        <v>0.15719047619047619</v>
      </c>
      <c r="I76" s="90"/>
      <c r="J76" s="56" t="s">
        <v>73</v>
      </c>
      <c r="K76" s="54">
        <v>0.11269999999999999</v>
      </c>
      <c r="L76" s="42">
        <v>530426</v>
      </c>
      <c r="M76" s="12">
        <v>528</v>
      </c>
      <c r="N76" s="43">
        <v>1E-3</v>
      </c>
      <c r="O76" s="44">
        <v>97.91</v>
      </c>
      <c r="P76" s="44">
        <v>0.18</v>
      </c>
      <c r="Q76" s="44">
        <v>0.19</v>
      </c>
      <c r="R76" s="12">
        <v>1</v>
      </c>
      <c r="S76" s="44">
        <v>9.98</v>
      </c>
      <c r="T76" s="87"/>
      <c r="U76" s="56" t="s">
        <v>73</v>
      </c>
      <c r="V76" s="19">
        <f t="shared" si="110"/>
        <v>4972</v>
      </c>
      <c r="W76" s="19">
        <f t="shared" si="111"/>
        <v>102</v>
      </c>
      <c r="X76" s="44">
        <f t="shared" si="112"/>
        <v>1.1200000000000045</v>
      </c>
      <c r="Y76" s="17">
        <f t="shared" si="113"/>
        <v>9.2865494454592665E-3</v>
      </c>
      <c r="Z76" s="17">
        <f t="shared" si="114"/>
        <v>0.16190476190476191</v>
      </c>
    </row>
    <row r="77" spans="2:26" ht="15">
      <c r="B77" s="56" t="s">
        <v>74</v>
      </c>
      <c r="C77" s="46">
        <v>365026</v>
      </c>
      <c r="D77" s="47">
        <v>234</v>
      </c>
      <c r="E77" s="75">
        <f t="shared" si="107"/>
        <v>6.4105022655920401E-4</v>
      </c>
      <c r="F77" s="50">
        <v>102.53</v>
      </c>
      <c r="G77" s="35">
        <f t="shared" si="108"/>
        <v>0.28088410140647513</v>
      </c>
      <c r="H77" s="35">
        <f t="shared" si="109"/>
        <v>0.43816239316239319</v>
      </c>
      <c r="I77" s="47"/>
      <c r="J77" s="56" t="s">
        <v>74</v>
      </c>
      <c r="K77" s="54">
        <v>7.2300000000000003E-2</v>
      </c>
      <c r="L77" s="42">
        <v>358227</v>
      </c>
      <c r="M77" s="12">
        <v>205</v>
      </c>
      <c r="N77" s="43">
        <v>5.9999999999999995E-4</v>
      </c>
      <c r="O77" s="44">
        <v>100.35</v>
      </c>
      <c r="P77" s="44">
        <v>0.28000000000000003</v>
      </c>
      <c r="Q77" s="44">
        <v>0.49</v>
      </c>
      <c r="R77" s="12">
        <v>0</v>
      </c>
      <c r="S77" s="44">
        <v>0</v>
      </c>
      <c r="T77" s="87"/>
      <c r="U77" s="56" t="s">
        <v>74</v>
      </c>
      <c r="V77" s="19">
        <f t="shared" si="110"/>
        <v>6799</v>
      </c>
      <c r="W77" s="19">
        <f t="shared" si="111"/>
        <v>29</v>
      </c>
      <c r="X77" s="44">
        <f t="shared" si="112"/>
        <v>2.1800000000000068</v>
      </c>
      <c r="Y77" s="17">
        <f t="shared" si="113"/>
        <v>1.8626070471692426E-2</v>
      </c>
      <c r="Z77" s="17">
        <f t="shared" si="114"/>
        <v>0.12393162393162394</v>
      </c>
    </row>
    <row r="78" spans="2:26" ht="15">
      <c r="B78" s="114">
        <v>35680224</v>
      </c>
      <c r="C78" s="46">
        <f>SUM(C67:C77)</f>
        <v>1798245</v>
      </c>
      <c r="D78" s="46">
        <f>SUM(D67:D77)</f>
        <v>1089</v>
      </c>
      <c r="E78" s="75"/>
      <c r="F78" s="50">
        <f>SUM(F67:F77)</f>
        <v>540.17999999999995</v>
      </c>
      <c r="G78" s="31"/>
      <c r="H78" s="31"/>
      <c r="I78" s="47"/>
      <c r="J78" s="80"/>
      <c r="K78" s="53"/>
      <c r="L78" s="46">
        <f>SUM(L67:L77)</f>
        <v>1802439</v>
      </c>
      <c r="M78" s="46">
        <f>SUM(M67:M77)</f>
        <v>984</v>
      </c>
      <c r="N78" s="43"/>
      <c r="O78" s="44">
        <f>SUM(O67:O77)</f>
        <v>541.70000000000005</v>
      </c>
      <c r="P78" s="44"/>
      <c r="Q78" s="44"/>
      <c r="R78" s="12"/>
      <c r="S78" s="44"/>
      <c r="T78" s="12"/>
      <c r="U78" s="79"/>
      <c r="V78" s="19"/>
      <c r="W78" s="19"/>
      <c r="X78" s="44"/>
      <c r="Y78" s="17"/>
      <c r="Z78" s="17"/>
    </row>
    <row r="79" spans="2:26" s="8" customFormat="1" ht="15">
      <c r="B79" s="71" t="s">
        <v>75</v>
      </c>
      <c r="C79" s="140" t="s">
        <v>78</v>
      </c>
      <c r="D79" s="138"/>
      <c r="E79" s="138"/>
      <c r="F79" s="138"/>
      <c r="G79" s="138"/>
      <c r="H79" s="138"/>
      <c r="I79" s="139"/>
      <c r="J79" s="71" t="s">
        <v>75</v>
      </c>
      <c r="K79" s="15"/>
      <c r="L79" s="18"/>
      <c r="M79" s="18"/>
      <c r="N79" s="17"/>
      <c r="O79" s="22"/>
      <c r="P79" s="22"/>
      <c r="Q79" s="22"/>
      <c r="R79" s="18"/>
      <c r="S79" s="22"/>
      <c r="T79" s="18"/>
      <c r="U79" s="71" t="s">
        <v>75</v>
      </c>
      <c r="V79" s="19"/>
      <c r="W79" s="19"/>
      <c r="X79" s="44"/>
      <c r="Y79" s="17"/>
      <c r="Z79" s="17"/>
    </row>
    <row r="80" spans="2:26" ht="15">
      <c r="B80" s="59" t="s">
        <v>30</v>
      </c>
      <c r="C80" s="48">
        <v>287832</v>
      </c>
      <c r="D80" s="49">
        <v>92</v>
      </c>
      <c r="E80" s="75">
        <f t="shared" ref="E80:E124" si="115">D80/C80</f>
        <v>3.1963089580032796E-4</v>
      </c>
      <c r="F80" s="50">
        <v>92.71</v>
      </c>
      <c r="G80" s="35">
        <f t="shared" ref="G80:G105" si="116">F80/C80*1000</f>
        <v>0.3220976124961783</v>
      </c>
      <c r="H80" s="35">
        <f t="shared" ref="H80:H105" si="117">F80/D80</f>
        <v>1.0077173913043478</v>
      </c>
      <c r="I80" s="49">
        <v>17</v>
      </c>
      <c r="J80" s="59" t="s">
        <v>30</v>
      </c>
      <c r="K80" s="53">
        <v>1.06E-2</v>
      </c>
      <c r="L80" s="9">
        <v>298190</v>
      </c>
      <c r="M80" s="10">
        <v>124</v>
      </c>
      <c r="N80" s="33">
        <v>4.0000000000000002E-4</v>
      </c>
      <c r="O80" s="11">
        <v>100.36</v>
      </c>
      <c r="P80" s="11">
        <v>0.34</v>
      </c>
      <c r="Q80" s="11">
        <v>0.81</v>
      </c>
      <c r="R80" s="10">
        <v>0</v>
      </c>
      <c r="S80" s="11">
        <v>0</v>
      </c>
      <c r="T80" s="12"/>
      <c r="U80" s="59" t="s">
        <v>30</v>
      </c>
      <c r="V80" s="19">
        <f>C80+C81-L80</f>
        <v>-4914</v>
      </c>
      <c r="W80" s="19">
        <f>D80+D81+I80+I81-M80</f>
        <v>7</v>
      </c>
      <c r="X80" s="44">
        <f>F80+F81-O80</f>
        <v>-1.5200000000000102</v>
      </c>
      <c r="Y80" s="17">
        <f>V80/(C80+C81)</f>
        <v>-1.6755547675227432E-2</v>
      </c>
      <c r="Z80" s="17">
        <f>W80/(D80+D81)</f>
        <v>6.1403508771929821E-2</v>
      </c>
    </row>
    <row r="81" spans="2:26" ht="15">
      <c r="B81" s="59" t="s">
        <v>76</v>
      </c>
      <c r="C81" s="48">
        <v>5444</v>
      </c>
      <c r="D81" s="49">
        <v>22</v>
      </c>
      <c r="E81" s="75">
        <f t="shared" si="115"/>
        <v>4.0411462160176341E-3</v>
      </c>
      <c r="F81" s="50">
        <v>6.13</v>
      </c>
      <c r="G81" s="35">
        <f t="shared" si="116"/>
        <v>1.1260102865540045</v>
      </c>
      <c r="H81" s="35">
        <f t="shared" si="117"/>
        <v>0.27863636363636363</v>
      </c>
      <c r="I81" s="49">
        <v>0</v>
      </c>
      <c r="J81" s="59" t="s">
        <v>76</v>
      </c>
      <c r="K81" s="53"/>
      <c r="L81" s="42"/>
      <c r="M81" s="12"/>
      <c r="N81" s="43"/>
      <c r="O81" s="44"/>
      <c r="P81" s="44"/>
      <c r="Q81" s="44"/>
      <c r="R81" s="12"/>
      <c r="S81" s="44"/>
      <c r="T81" s="12"/>
      <c r="U81" s="59" t="s">
        <v>76</v>
      </c>
      <c r="V81" s="19"/>
      <c r="W81" s="19"/>
      <c r="X81" s="44"/>
      <c r="Y81" s="17"/>
      <c r="Z81" s="17"/>
    </row>
    <row r="82" spans="2:26" ht="15">
      <c r="B82" s="59" t="s">
        <v>59</v>
      </c>
      <c r="C82" s="48">
        <v>96459</v>
      </c>
      <c r="D82" s="49">
        <v>30</v>
      </c>
      <c r="E82" s="75">
        <f t="shared" si="115"/>
        <v>3.1101296924081732E-4</v>
      </c>
      <c r="F82" s="50">
        <v>21</v>
      </c>
      <c r="G82" s="35">
        <f t="shared" si="116"/>
        <v>0.21770907846857215</v>
      </c>
      <c r="H82" s="35">
        <f t="shared" si="117"/>
        <v>0.7</v>
      </c>
      <c r="I82" s="49">
        <v>0</v>
      </c>
      <c r="J82" s="59" t="s">
        <v>59</v>
      </c>
      <c r="K82" s="53">
        <v>2.1600000000000001E-2</v>
      </c>
      <c r="L82" s="42">
        <v>95767</v>
      </c>
      <c r="M82" s="12">
        <v>30</v>
      </c>
      <c r="N82" s="43">
        <f>M82/L82</f>
        <v>3.1326030887466455E-4</v>
      </c>
      <c r="O82" s="44">
        <v>20.81</v>
      </c>
      <c r="P82" s="44">
        <v>0.22</v>
      </c>
      <c r="Q82" s="44">
        <v>0.69</v>
      </c>
      <c r="R82" s="12">
        <v>0</v>
      </c>
      <c r="S82" s="44">
        <v>0</v>
      </c>
      <c r="T82" s="87"/>
      <c r="U82" s="59" t="s">
        <v>59</v>
      </c>
      <c r="V82" s="19">
        <f t="shared" ref="V82:V92" si="118">C82-L82</f>
        <v>692</v>
      </c>
      <c r="W82" s="19">
        <f t="shared" ref="W82:W92" si="119">D82+I82-M82</f>
        <v>0</v>
      </c>
      <c r="X82" s="44">
        <f t="shared" ref="X82:X92" si="120">F82-O82</f>
        <v>0.19000000000000128</v>
      </c>
      <c r="Y82" s="17">
        <f t="shared" ref="Y82:Y92" si="121">V82/C82</f>
        <v>7.1740324904881869E-3</v>
      </c>
      <c r="Z82" s="17">
        <f t="shared" ref="Z82:Z92" si="122">W82/D82</f>
        <v>0</v>
      </c>
    </row>
    <row r="83" spans="2:26" ht="15">
      <c r="B83" s="59" t="s">
        <v>60</v>
      </c>
      <c r="C83" s="48">
        <v>1953</v>
      </c>
      <c r="D83" s="49">
        <v>8</v>
      </c>
      <c r="E83" s="75">
        <f t="shared" si="115"/>
        <v>4.0962621607782898E-3</v>
      </c>
      <c r="F83" s="50">
        <v>1.23</v>
      </c>
      <c r="G83" s="35">
        <f t="shared" si="116"/>
        <v>0.62980030721966207</v>
      </c>
      <c r="H83" s="35">
        <f t="shared" si="117"/>
        <v>0.15375</v>
      </c>
      <c r="I83" s="49">
        <v>0</v>
      </c>
      <c r="J83" s="59" t="s">
        <v>60</v>
      </c>
      <c r="K83" s="53">
        <v>8.3000000000000004E-2</v>
      </c>
      <c r="L83" s="42">
        <v>1930</v>
      </c>
      <c r="M83" s="42">
        <v>8</v>
      </c>
      <c r="N83" s="43">
        <f t="shared" ref="N83:N85" si="123">M83/L83</f>
        <v>4.1450777202072537E-3</v>
      </c>
      <c r="O83" s="44">
        <v>1.21</v>
      </c>
      <c r="P83" s="44">
        <f>O83/L83*1000</f>
        <v>0.62694300518134716</v>
      </c>
      <c r="Q83" s="44">
        <f>O83/M83</f>
        <v>0.15125</v>
      </c>
      <c r="R83" s="12">
        <v>0</v>
      </c>
      <c r="S83" s="44">
        <v>0</v>
      </c>
      <c r="T83" s="87"/>
      <c r="U83" s="59" t="s">
        <v>60</v>
      </c>
      <c r="V83" s="19">
        <f t="shared" si="118"/>
        <v>23</v>
      </c>
      <c r="W83" s="19">
        <f t="shared" si="119"/>
        <v>0</v>
      </c>
      <c r="X83" s="44">
        <f t="shared" si="120"/>
        <v>2.0000000000000018E-2</v>
      </c>
      <c r="Y83" s="17">
        <f t="shared" si="121"/>
        <v>1.1776753712237584E-2</v>
      </c>
      <c r="Z83" s="17">
        <f t="shared" si="122"/>
        <v>0</v>
      </c>
    </row>
    <row r="84" spans="2:26" ht="15">
      <c r="B84" s="59" t="s">
        <v>61</v>
      </c>
      <c r="C84" s="48">
        <v>105528</v>
      </c>
      <c r="D84" s="49">
        <v>50</v>
      </c>
      <c r="E84" s="75">
        <f t="shared" si="115"/>
        <v>4.7380789932529753E-4</v>
      </c>
      <c r="F84" s="50">
        <v>22.73</v>
      </c>
      <c r="G84" s="35">
        <f t="shared" si="116"/>
        <v>0.21539307103328029</v>
      </c>
      <c r="H84" s="35">
        <f t="shared" si="117"/>
        <v>0.4546</v>
      </c>
      <c r="I84" s="49">
        <v>1</v>
      </c>
      <c r="J84" s="59" t="s">
        <v>61</v>
      </c>
      <c r="K84" s="53">
        <v>2.1700000000000001E-2</v>
      </c>
      <c r="L84" s="42">
        <v>104879</v>
      </c>
      <c r="M84" s="12">
        <v>52</v>
      </c>
      <c r="N84" s="43">
        <f t="shared" si="123"/>
        <v>4.9580945661190513E-4</v>
      </c>
      <c r="O84" s="44">
        <v>22.57</v>
      </c>
      <c r="P84" s="44">
        <v>0.22</v>
      </c>
      <c r="Q84" s="44">
        <v>0.43</v>
      </c>
      <c r="R84" s="12">
        <v>0</v>
      </c>
      <c r="S84" s="44">
        <v>0</v>
      </c>
      <c r="T84" s="87"/>
      <c r="U84" s="59" t="s">
        <v>61</v>
      </c>
      <c r="V84" s="19">
        <f t="shared" si="118"/>
        <v>649</v>
      </c>
      <c r="W84" s="19">
        <f t="shared" si="119"/>
        <v>-1</v>
      </c>
      <c r="X84" s="44">
        <f t="shared" si="120"/>
        <v>0.16000000000000014</v>
      </c>
      <c r="Y84" s="17">
        <f t="shared" si="121"/>
        <v>6.150026533242362E-3</v>
      </c>
      <c r="Z84" s="17">
        <f t="shared" si="122"/>
        <v>-0.02</v>
      </c>
    </row>
    <row r="85" spans="2:26" ht="15">
      <c r="B85" s="59" t="s">
        <v>32</v>
      </c>
      <c r="C85" s="48">
        <v>341513</v>
      </c>
      <c r="D85" s="49">
        <v>32</v>
      </c>
      <c r="E85" s="75">
        <f t="shared" si="115"/>
        <v>9.3700679037108403E-5</v>
      </c>
      <c r="F85" s="50">
        <v>108.56</v>
      </c>
      <c r="G85" s="35">
        <f t="shared" si="116"/>
        <v>0.31787955363339027</v>
      </c>
      <c r="H85" s="35">
        <f t="shared" si="117"/>
        <v>3.3925000000000001</v>
      </c>
      <c r="I85" s="49">
        <v>7</v>
      </c>
      <c r="J85" s="59" t="s">
        <v>32</v>
      </c>
      <c r="K85" s="53">
        <v>2.9700000000000001E-2</v>
      </c>
      <c r="L85" s="9">
        <v>362464</v>
      </c>
      <c r="M85" s="10">
        <v>44</v>
      </c>
      <c r="N85" s="43">
        <f t="shared" si="123"/>
        <v>1.2139136576322062E-4</v>
      </c>
      <c r="O85" s="11">
        <v>119.07</v>
      </c>
      <c r="P85" s="11">
        <v>0.33</v>
      </c>
      <c r="Q85" s="11">
        <v>2.71</v>
      </c>
      <c r="R85" s="10">
        <v>6</v>
      </c>
      <c r="S85" s="11">
        <v>210.18</v>
      </c>
      <c r="T85" s="87"/>
      <c r="U85" s="59" t="s">
        <v>32</v>
      </c>
      <c r="V85" s="19">
        <f>C85+C86-L85</f>
        <v>-15788</v>
      </c>
      <c r="W85" s="19">
        <f>D85+D86+I85+I86-M85</f>
        <v>6</v>
      </c>
      <c r="X85" s="44">
        <f>F85+F86-O85</f>
        <v>-4.8199999999999932</v>
      </c>
      <c r="Y85" s="17">
        <f>V85/(C85+C86)</f>
        <v>-4.5541081586264985E-2</v>
      </c>
      <c r="Z85" s="17">
        <f>W85/(D85+D86)</f>
        <v>0.14285714285714285</v>
      </c>
    </row>
    <row r="86" spans="2:26" ht="15">
      <c r="B86" s="59" t="s">
        <v>77</v>
      </c>
      <c r="C86" s="48">
        <v>5163</v>
      </c>
      <c r="D86" s="49">
        <v>10</v>
      </c>
      <c r="E86" s="75">
        <f t="shared" si="115"/>
        <v>1.9368584156498161E-3</v>
      </c>
      <c r="F86" s="50">
        <v>5.69</v>
      </c>
      <c r="G86" s="35">
        <f t="shared" si="116"/>
        <v>1.1020724385047456</v>
      </c>
      <c r="H86" s="35">
        <f t="shared" si="117"/>
        <v>0.56900000000000006</v>
      </c>
      <c r="I86" s="49">
        <v>1</v>
      </c>
      <c r="J86" s="59" t="s">
        <v>77</v>
      </c>
      <c r="K86" s="53"/>
      <c r="L86" s="42"/>
      <c r="M86" s="12"/>
      <c r="N86" s="43"/>
      <c r="O86" s="44"/>
      <c r="P86" s="44"/>
      <c r="Q86" s="44"/>
      <c r="R86" s="12"/>
      <c r="S86" s="44"/>
      <c r="T86" s="87"/>
      <c r="U86" s="59" t="s">
        <v>77</v>
      </c>
      <c r="V86" s="19"/>
      <c r="W86" s="19"/>
      <c r="X86" s="44"/>
      <c r="Y86" s="17"/>
      <c r="Z86" s="17"/>
    </row>
    <row r="87" spans="2:26" ht="15">
      <c r="B87" s="59" t="s">
        <v>62</v>
      </c>
      <c r="C87" s="48">
        <v>571104</v>
      </c>
      <c r="D87" s="49">
        <v>351</v>
      </c>
      <c r="E87" s="75">
        <f t="shared" si="115"/>
        <v>6.1459909228441759E-4</v>
      </c>
      <c r="F87" s="50">
        <v>209.56</v>
      </c>
      <c r="G87" s="35">
        <f t="shared" si="116"/>
        <v>0.36693842102314111</v>
      </c>
      <c r="H87" s="35">
        <f t="shared" si="117"/>
        <v>0.59703703703703703</v>
      </c>
      <c r="I87" s="49">
        <v>36</v>
      </c>
      <c r="J87" s="59" t="s">
        <v>62</v>
      </c>
      <c r="K87" s="53">
        <v>1.6899999999999998E-2</v>
      </c>
      <c r="L87" s="42">
        <v>572092</v>
      </c>
      <c r="M87" s="12">
        <v>373</v>
      </c>
      <c r="N87" s="43">
        <f>M87/L87</f>
        <v>6.5199303608510519E-4</v>
      </c>
      <c r="O87" s="44">
        <v>209.88</v>
      </c>
      <c r="P87" s="44">
        <v>0.37</v>
      </c>
      <c r="Q87" s="44">
        <v>0.56000000000000005</v>
      </c>
      <c r="R87" s="12">
        <v>17</v>
      </c>
      <c r="S87" s="44">
        <v>690.15</v>
      </c>
      <c r="T87" s="87"/>
      <c r="U87" s="59" t="s">
        <v>62</v>
      </c>
      <c r="V87" s="19">
        <f t="shared" si="118"/>
        <v>-988</v>
      </c>
      <c r="W87" s="19">
        <f t="shared" si="119"/>
        <v>14</v>
      </c>
      <c r="X87" s="44">
        <f t="shared" si="120"/>
        <v>-0.31999999999999318</v>
      </c>
      <c r="Y87" s="17">
        <f t="shared" si="121"/>
        <v>-1.7299826301339161E-3</v>
      </c>
      <c r="Z87" s="17">
        <f t="shared" si="122"/>
        <v>3.9886039886039885E-2</v>
      </c>
    </row>
    <row r="88" spans="2:26" ht="15">
      <c r="B88" s="59" t="s">
        <v>63</v>
      </c>
      <c r="C88" s="48">
        <v>271913</v>
      </c>
      <c r="D88" s="49">
        <v>230</v>
      </c>
      <c r="E88" s="75">
        <f t="shared" si="115"/>
        <v>8.4585878571454844E-4</v>
      </c>
      <c r="F88" s="50">
        <v>216.12</v>
      </c>
      <c r="G88" s="35">
        <f t="shared" si="116"/>
        <v>0.79481304682012266</v>
      </c>
      <c r="H88" s="35">
        <f t="shared" si="117"/>
        <v>0.93965217391304345</v>
      </c>
      <c r="I88" s="49">
        <v>19</v>
      </c>
      <c r="J88" s="59" t="s">
        <v>63</v>
      </c>
      <c r="K88" s="53">
        <v>0.193</v>
      </c>
      <c r="L88" s="39">
        <v>270990</v>
      </c>
      <c r="M88" s="13">
        <v>248</v>
      </c>
      <c r="N88" s="43">
        <f t="shared" ref="N88:N92" si="124">M88/L88</f>
        <v>9.1516292114100155E-4</v>
      </c>
      <c r="O88" s="41">
        <v>215.21</v>
      </c>
      <c r="P88" s="41">
        <v>0.79</v>
      </c>
      <c r="Q88" s="41">
        <v>0.87</v>
      </c>
      <c r="R88" s="13">
        <v>140</v>
      </c>
      <c r="S88" s="41">
        <v>10744.64</v>
      </c>
      <c r="T88" s="87"/>
      <c r="U88" s="59" t="s">
        <v>63</v>
      </c>
      <c r="V88" s="19">
        <f t="shared" si="118"/>
        <v>923</v>
      </c>
      <c r="W88" s="19">
        <f t="shared" si="119"/>
        <v>1</v>
      </c>
      <c r="X88" s="44">
        <f t="shared" si="120"/>
        <v>0.90999999999999659</v>
      </c>
      <c r="Y88" s="17">
        <f t="shared" si="121"/>
        <v>3.3944680835414267E-3</v>
      </c>
      <c r="Z88" s="17">
        <f t="shared" si="122"/>
        <v>4.3478260869565218E-3</v>
      </c>
    </row>
    <row r="89" spans="2:26" ht="15">
      <c r="B89" s="59" t="s">
        <v>64</v>
      </c>
      <c r="C89" s="48">
        <v>1335881</v>
      </c>
      <c r="D89" s="49">
        <v>246</v>
      </c>
      <c r="E89" s="75">
        <f t="shared" si="115"/>
        <v>1.8414813894351368E-4</v>
      </c>
      <c r="F89" s="50">
        <v>306.32</v>
      </c>
      <c r="G89" s="35">
        <f t="shared" si="116"/>
        <v>0.22930186146819961</v>
      </c>
      <c r="H89" s="35">
        <f t="shared" si="117"/>
        <v>1.2452032520325202</v>
      </c>
      <c r="I89" s="49">
        <v>88</v>
      </c>
      <c r="J89" s="59" t="s">
        <v>64</v>
      </c>
      <c r="K89" s="53">
        <v>4.2599999999999999E-2</v>
      </c>
      <c r="L89" s="42">
        <v>1354335</v>
      </c>
      <c r="M89" s="12">
        <v>315</v>
      </c>
      <c r="N89" s="43">
        <f t="shared" si="124"/>
        <v>2.3258647232774756E-4</v>
      </c>
      <c r="O89" s="44">
        <v>310</v>
      </c>
      <c r="P89" s="44">
        <v>0.23</v>
      </c>
      <c r="Q89" s="44">
        <v>0.98</v>
      </c>
      <c r="R89" s="12">
        <v>8</v>
      </c>
      <c r="S89" s="44">
        <v>31.25</v>
      </c>
      <c r="T89" s="87"/>
      <c r="U89" s="59" t="s">
        <v>64</v>
      </c>
      <c r="V89" s="19">
        <f t="shared" si="118"/>
        <v>-18454</v>
      </c>
      <c r="W89" s="19">
        <f t="shared" si="119"/>
        <v>19</v>
      </c>
      <c r="X89" s="44">
        <f t="shared" si="120"/>
        <v>-3.6800000000000068</v>
      </c>
      <c r="Y89" s="17">
        <f t="shared" si="121"/>
        <v>-1.3814104699445535E-2</v>
      </c>
      <c r="Z89" s="17">
        <f t="shared" si="122"/>
        <v>7.7235772357723581E-2</v>
      </c>
    </row>
    <row r="90" spans="2:26" ht="15">
      <c r="B90" s="59" t="s">
        <v>65</v>
      </c>
      <c r="C90" s="48">
        <v>333128</v>
      </c>
      <c r="D90" s="49">
        <v>89</v>
      </c>
      <c r="E90" s="75">
        <f t="shared" si="115"/>
        <v>2.6716457337720034E-4</v>
      </c>
      <c r="F90" s="50">
        <v>227.23</v>
      </c>
      <c r="G90" s="35">
        <f t="shared" si="116"/>
        <v>0.68211017987080047</v>
      </c>
      <c r="H90" s="35">
        <f t="shared" si="117"/>
        <v>2.5531460674157302</v>
      </c>
      <c r="I90" s="49">
        <v>13</v>
      </c>
      <c r="J90" s="59" t="s">
        <v>65</v>
      </c>
      <c r="K90" s="53">
        <v>4.2900000000000001E-2</v>
      </c>
      <c r="L90" s="39">
        <v>333439</v>
      </c>
      <c r="M90" s="13">
        <v>99</v>
      </c>
      <c r="N90" s="43">
        <f t="shared" si="124"/>
        <v>2.9690588083577506E-4</v>
      </c>
      <c r="O90" s="41">
        <v>227.22</v>
      </c>
      <c r="P90" s="41">
        <v>0.68</v>
      </c>
      <c r="Q90" s="41">
        <v>2.2999999999999998</v>
      </c>
      <c r="R90" s="13">
        <v>64</v>
      </c>
      <c r="S90" s="41">
        <v>1322.86</v>
      </c>
      <c r="T90" s="87"/>
      <c r="U90" s="59" t="s">
        <v>65</v>
      </c>
      <c r="V90" s="19">
        <f t="shared" si="118"/>
        <v>-311</v>
      </c>
      <c r="W90" s="19">
        <f t="shared" si="119"/>
        <v>3</v>
      </c>
      <c r="X90" s="44">
        <f t="shared" si="120"/>
        <v>9.9999999999909051E-3</v>
      </c>
      <c r="Y90" s="17">
        <f t="shared" si="121"/>
        <v>-9.3357508225066642E-4</v>
      </c>
      <c r="Z90" s="17">
        <f t="shared" si="122"/>
        <v>3.3707865168539325E-2</v>
      </c>
    </row>
    <row r="91" spans="2:26" ht="15">
      <c r="B91" s="59" t="s">
        <v>73</v>
      </c>
      <c r="C91" s="51">
        <v>1262649</v>
      </c>
      <c r="D91" s="51">
        <v>1237</v>
      </c>
      <c r="E91" s="75">
        <f t="shared" si="115"/>
        <v>9.7968635780806856E-4</v>
      </c>
      <c r="F91" s="50">
        <v>222.67</v>
      </c>
      <c r="G91" s="35">
        <f t="shared" si="116"/>
        <v>0.17635146426283155</v>
      </c>
      <c r="H91" s="35">
        <f t="shared" si="117"/>
        <v>0.18000808407437346</v>
      </c>
      <c r="I91" s="47"/>
      <c r="J91" s="59" t="s">
        <v>73</v>
      </c>
      <c r="K91" s="53">
        <v>4.8500000000000001E-2</v>
      </c>
      <c r="L91" s="42">
        <v>1225613</v>
      </c>
      <c r="M91" s="12">
        <v>894</v>
      </c>
      <c r="N91" s="43">
        <f t="shared" si="124"/>
        <v>7.2943090518785294E-4</v>
      </c>
      <c r="O91" s="44">
        <v>215.78</v>
      </c>
      <c r="P91" s="44">
        <v>0.18</v>
      </c>
      <c r="Q91" s="44">
        <v>0.24</v>
      </c>
      <c r="R91" s="12">
        <v>4</v>
      </c>
      <c r="S91" s="44">
        <v>120.15</v>
      </c>
      <c r="T91" s="87"/>
      <c r="U91" s="59" t="s">
        <v>73</v>
      </c>
      <c r="V91" s="19">
        <f t="shared" si="118"/>
        <v>37036</v>
      </c>
      <c r="W91" s="19">
        <f t="shared" si="119"/>
        <v>343</v>
      </c>
      <c r="X91" s="44">
        <f t="shared" si="120"/>
        <v>6.8899999999999864</v>
      </c>
      <c r="Y91" s="17">
        <f t="shared" si="121"/>
        <v>2.9331983789635915E-2</v>
      </c>
      <c r="Z91" s="17">
        <f t="shared" si="122"/>
        <v>0.27728375101050928</v>
      </c>
    </row>
    <row r="92" spans="2:26" ht="15">
      <c r="B92" s="59" t="s">
        <v>74</v>
      </c>
      <c r="C92" s="51">
        <v>1377638</v>
      </c>
      <c r="D92" s="52">
        <v>522</v>
      </c>
      <c r="E92" s="75">
        <f t="shared" si="115"/>
        <v>3.7890940871259358E-4</v>
      </c>
      <c r="F92" s="50">
        <v>411.17</v>
      </c>
      <c r="G92" s="35">
        <f t="shared" si="116"/>
        <v>0.2984601179700328</v>
      </c>
      <c r="H92" s="35">
        <f t="shared" si="117"/>
        <v>0.78768199233716474</v>
      </c>
      <c r="I92" s="47"/>
      <c r="J92" s="59" t="s">
        <v>116</v>
      </c>
      <c r="K92" s="53">
        <v>8.9800000000000005E-2</v>
      </c>
      <c r="L92" s="42">
        <v>1351558</v>
      </c>
      <c r="M92" s="12">
        <v>372</v>
      </c>
      <c r="N92" s="43">
        <f t="shared" si="124"/>
        <v>2.7523791061870821E-4</v>
      </c>
      <c r="O92" s="44">
        <v>404.28</v>
      </c>
      <c r="P92" s="44">
        <v>0.3</v>
      </c>
      <c r="Q92" s="44">
        <v>1.0900000000000001</v>
      </c>
      <c r="R92" s="12">
        <v>1</v>
      </c>
      <c r="S92" s="44">
        <v>45.9</v>
      </c>
      <c r="T92" s="87"/>
      <c r="U92" s="59" t="s">
        <v>74</v>
      </c>
      <c r="V92" s="19">
        <f t="shared" si="118"/>
        <v>26080</v>
      </c>
      <c r="W92" s="19">
        <f t="shared" si="119"/>
        <v>150</v>
      </c>
      <c r="X92" s="44">
        <f t="shared" si="120"/>
        <v>6.8900000000000432</v>
      </c>
      <c r="Y92" s="17">
        <f t="shared" si="121"/>
        <v>1.8930952833763295E-2</v>
      </c>
      <c r="Z92" s="17">
        <f t="shared" si="122"/>
        <v>0.28735632183908044</v>
      </c>
    </row>
    <row r="93" spans="2:26" s="8" customFormat="1" ht="15">
      <c r="B93" s="114">
        <f>37009994+27441790+45710718+58083216</f>
        <v>168245718</v>
      </c>
      <c r="C93" s="46">
        <f>SUM(C80:C92)</f>
        <v>5996205</v>
      </c>
      <c r="D93" s="46">
        <f>SUM(D80:D92)</f>
        <v>2919</v>
      </c>
      <c r="E93" s="75"/>
      <c r="F93" s="50">
        <f>SUM(F80:F92)</f>
        <v>1851.1200000000001</v>
      </c>
      <c r="G93" s="31"/>
      <c r="H93" s="31"/>
      <c r="I93" s="47"/>
      <c r="J93" s="80"/>
      <c r="K93" s="53"/>
      <c r="L93" s="46">
        <f>SUM(L80:L92)</f>
        <v>5971257</v>
      </c>
      <c r="M93" s="46">
        <f>SUM(M80:M92)</f>
        <v>2559</v>
      </c>
      <c r="N93" s="43"/>
      <c r="O93" s="44">
        <f>SUM(O80:O92)</f>
        <v>1846.3899999999999</v>
      </c>
      <c r="P93" s="44"/>
      <c r="Q93" s="44"/>
      <c r="R93" s="12"/>
      <c r="S93" s="44"/>
      <c r="T93" s="12"/>
      <c r="U93" s="79"/>
      <c r="V93" s="19"/>
      <c r="W93" s="19"/>
      <c r="X93" s="44"/>
      <c r="Y93" s="17"/>
      <c r="Z93" s="17"/>
    </row>
    <row r="94" spans="2:26" ht="15">
      <c r="B94" s="71">
        <v>41212</v>
      </c>
      <c r="C94" s="140" t="s">
        <v>102</v>
      </c>
      <c r="D94" s="138"/>
      <c r="E94" s="138"/>
      <c r="F94" s="138"/>
      <c r="G94" s="138"/>
      <c r="H94" s="138"/>
      <c r="I94" s="139"/>
      <c r="J94" s="71">
        <v>41212</v>
      </c>
      <c r="K94" s="53"/>
      <c r="L94" s="42"/>
      <c r="M94" s="12"/>
      <c r="N94" s="43"/>
      <c r="O94" s="44"/>
      <c r="P94" s="44"/>
      <c r="Q94" s="44"/>
      <c r="R94" s="12"/>
      <c r="S94" s="44"/>
      <c r="T94" s="12"/>
      <c r="U94" s="71">
        <v>41212</v>
      </c>
      <c r="V94" s="19"/>
      <c r="W94" s="19"/>
      <c r="X94" s="44"/>
      <c r="Y94" s="17"/>
      <c r="Z94" s="17"/>
    </row>
    <row r="95" spans="2:26" ht="15">
      <c r="B95" s="59" t="s">
        <v>30</v>
      </c>
      <c r="C95" s="48">
        <v>105450</v>
      </c>
      <c r="D95" s="49">
        <v>54</v>
      </c>
      <c r="E95" s="75">
        <f t="shared" si="115"/>
        <v>5.1209103840682785E-4</v>
      </c>
      <c r="F95" s="50">
        <v>36.01</v>
      </c>
      <c r="G95" s="35">
        <f t="shared" si="116"/>
        <v>0.34148885727833095</v>
      </c>
      <c r="H95" s="35">
        <f t="shared" si="117"/>
        <v>0.66685185185185181</v>
      </c>
      <c r="I95" s="49">
        <v>4</v>
      </c>
      <c r="J95" s="59" t="s">
        <v>114</v>
      </c>
      <c r="K95" s="53">
        <v>1.0800000000000001E-2</v>
      </c>
      <c r="L95" s="9">
        <v>109946</v>
      </c>
      <c r="M95" s="10">
        <v>61</v>
      </c>
      <c r="N95" s="33">
        <v>5.9999999999999995E-4</v>
      </c>
      <c r="O95" s="11">
        <v>39.82</v>
      </c>
      <c r="P95" s="11">
        <v>0.36</v>
      </c>
      <c r="Q95" s="11">
        <v>0.65</v>
      </c>
      <c r="R95" s="10">
        <v>0</v>
      </c>
      <c r="S95" s="11">
        <v>0</v>
      </c>
      <c r="T95" s="12"/>
      <c r="U95" s="59" t="s">
        <v>30</v>
      </c>
      <c r="V95" s="19">
        <f>C95+C96-L95</f>
        <v>-1634</v>
      </c>
      <c r="W95" s="19">
        <f>D95+D96+I95+I96-M95</f>
        <v>5</v>
      </c>
      <c r="X95" s="44">
        <f>F95+F96-O95</f>
        <v>-0.5</v>
      </c>
      <c r="Y95" s="17">
        <f>V95/(C95+C96)</f>
        <v>-1.5086047714011374E-2</v>
      </c>
      <c r="Z95" s="17">
        <f>W95/(D95+D96)</f>
        <v>8.0645161290322578E-2</v>
      </c>
    </row>
    <row r="96" spans="2:26" ht="15">
      <c r="B96" s="59" t="s">
        <v>76</v>
      </c>
      <c r="C96" s="48">
        <v>2862</v>
      </c>
      <c r="D96" s="49">
        <v>8</v>
      </c>
      <c r="E96" s="75">
        <f t="shared" si="115"/>
        <v>2.7952480782669461E-3</v>
      </c>
      <c r="F96" s="50">
        <v>3.31</v>
      </c>
      <c r="G96" s="35">
        <f t="shared" si="116"/>
        <v>1.1565338923829489</v>
      </c>
      <c r="H96" s="35">
        <f t="shared" si="117"/>
        <v>0.41375000000000001</v>
      </c>
      <c r="I96" s="49">
        <v>0</v>
      </c>
      <c r="J96" s="59" t="s">
        <v>76</v>
      </c>
      <c r="K96" s="53"/>
      <c r="L96" s="106"/>
      <c r="M96" s="107"/>
      <c r="N96" s="108"/>
      <c r="O96" s="109"/>
      <c r="P96" s="109"/>
      <c r="Q96" s="109"/>
      <c r="R96" s="107"/>
      <c r="S96" s="109"/>
      <c r="T96" s="12"/>
      <c r="U96" s="59" t="s">
        <v>76</v>
      </c>
      <c r="V96" s="19"/>
      <c r="W96" s="19"/>
      <c r="X96" s="44"/>
      <c r="Y96" s="17"/>
      <c r="Z96" s="17"/>
    </row>
    <row r="97" spans="2:26" ht="15">
      <c r="B97" s="59" t="s">
        <v>59</v>
      </c>
      <c r="C97" s="48">
        <v>15709</v>
      </c>
      <c r="D97" s="49">
        <v>8</v>
      </c>
      <c r="E97" s="75">
        <f t="shared" si="115"/>
        <v>5.0926220637850913E-4</v>
      </c>
      <c r="F97" s="50">
        <v>3.92</v>
      </c>
      <c r="G97" s="35">
        <f t="shared" si="116"/>
        <v>0.24953848112546947</v>
      </c>
      <c r="H97" s="35">
        <f t="shared" si="117"/>
        <v>0.49</v>
      </c>
      <c r="I97" s="49">
        <v>0</v>
      </c>
      <c r="J97" s="79" t="s">
        <v>113</v>
      </c>
      <c r="K97" s="53">
        <v>2.8999999999999998E-3</v>
      </c>
      <c r="L97" s="39">
        <v>15596</v>
      </c>
      <c r="M97" s="13">
        <v>8</v>
      </c>
      <c r="N97" s="40">
        <v>5.0000000000000001E-4</v>
      </c>
      <c r="O97" s="41">
        <v>3.89</v>
      </c>
      <c r="P97" s="41">
        <v>0.25</v>
      </c>
      <c r="Q97" s="41">
        <v>0.49</v>
      </c>
      <c r="R97" s="13">
        <v>0</v>
      </c>
      <c r="S97" s="41">
        <v>0</v>
      </c>
      <c r="T97" s="87"/>
      <c r="U97" s="59" t="s">
        <v>59</v>
      </c>
      <c r="V97" s="19">
        <f t="shared" ref="V97:V99" si="125">C97-L97</f>
        <v>113</v>
      </c>
      <c r="W97" s="19">
        <f t="shared" ref="W97:W99" si="126">D97+I97-M97</f>
        <v>0</v>
      </c>
      <c r="X97" s="44">
        <f t="shared" ref="X97:X99" si="127">F97-O97</f>
        <v>2.9999999999999805E-2</v>
      </c>
      <c r="Y97" s="17">
        <f t="shared" ref="Y97:Y99" si="128">V97/C97</f>
        <v>7.1933286650964412E-3</v>
      </c>
      <c r="Z97" s="17">
        <f t="shared" ref="Z97:Z99" si="129">W97/D97</f>
        <v>0</v>
      </c>
    </row>
    <row r="98" spans="2:26" ht="15">
      <c r="B98" s="59" t="s">
        <v>60</v>
      </c>
      <c r="C98" s="49">
        <v>432</v>
      </c>
      <c r="D98" s="49">
        <v>0</v>
      </c>
      <c r="E98" s="75">
        <f t="shared" si="115"/>
        <v>0</v>
      </c>
      <c r="F98" s="50">
        <v>0.25</v>
      </c>
      <c r="G98" s="35">
        <f t="shared" si="116"/>
        <v>0.57870370370370372</v>
      </c>
      <c r="H98" s="35" t="e">
        <f t="shared" si="117"/>
        <v>#DIV/0!</v>
      </c>
      <c r="I98" s="49">
        <v>0</v>
      </c>
      <c r="J98" s="79" t="s">
        <v>112</v>
      </c>
      <c r="K98" s="53">
        <v>0.12</v>
      </c>
      <c r="L98" s="42">
        <v>430</v>
      </c>
      <c r="M98" s="12">
        <v>0</v>
      </c>
      <c r="N98" s="43">
        <v>0</v>
      </c>
      <c r="O98" s="44">
        <v>0.25</v>
      </c>
      <c r="P98" s="44">
        <f>O98/L98*1000</f>
        <v>0.58139534883720934</v>
      </c>
      <c r="Q98" s="44" t="e">
        <f>P98/M98*1000</f>
        <v>#DIV/0!</v>
      </c>
      <c r="R98" s="13">
        <v>0</v>
      </c>
      <c r="S98" s="41">
        <v>0</v>
      </c>
      <c r="T98" s="87"/>
      <c r="U98" s="59" t="s">
        <v>60</v>
      </c>
      <c r="V98" s="19">
        <f t="shared" si="125"/>
        <v>2</v>
      </c>
      <c r="W98" s="19">
        <f t="shared" si="126"/>
        <v>0</v>
      </c>
      <c r="X98" s="44">
        <f t="shared" si="127"/>
        <v>0</v>
      </c>
      <c r="Y98" s="17">
        <f t="shared" si="128"/>
        <v>4.6296296296296294E-3</v>
      </c>
      <c r="Z98" s="17" t="e">
        <f t="shared" si="129"/>
        <v>#DIV/0!</v>
      </c>
    </row>
    <row r="99" spans="2:26" ht="15">
      <c r="B99" s="59" t="s">
        <v>61</v>
      </c>
      <c r="C99" s="46">
        <v>28455</v>
      </c>
      <c r="D99" s="47">
        <v>17</v>
      </c>
      <c r="E99" s="75">
        <f t="shared" si="115"/>
        <v>5.9743454577402915E-4</v>
      </c>
      <c r="F99" s="35">
        <v>5.89</v>
      </c>
      <c r="G99" s="35">
        <f t="shared" si="116"/>
        <v>0.20699349850641363</v>
      </c>
      <c r="H99" s="35">
        <f t="shared" si="117"/>
        <v>0.34647058823529409</v>
      </c>
      <c r="I99" s="47">
        <v>1</v>
      </c>
      <c r="J99" s="79" t="s">
        <v>111</v>
      </c>
      <c r="K99" s="53">
        <v>4.7999999999999996E-3</v>
      </c>
      <c r="L99" s="42">
        <v>28253</v>
      </c>
      <c r="M99" s="12">
        <v>18</v>
      </c>
      <c r="N99" s="43">
        <v>5.9999999999999995E-4</v>
      </c>
      <c r="O99" s="44">
        <v>5.85</v>
      </c>
      <c r="P99" s="44">
        <v>0.21</v>
      </c>
      <c r="Q99" s="44">
        <v>0.32</v>
      </c>
      <c r="R99" s="12">
        <v>0</v>
      </c>
      <c r="S99" s="44">
        <v>0</v>
      </c>
      <c r="T99" s="87"/>
      <c r="U99" s="59" t="s">
        <v>61</v>
      </c>
      <c r="V99" s="19">
        <f t="shared" si="125"/>
        <v>202</v>
      </c>
      <c r="W99" s="19">
        <f t="shared" si="126"/>
        <v>0</v>
      </c>
      <c r="X99" s="44">
        <f t="shared" si="127"/>
        <v>4.0000000000000036E-2</v>
      </c>
      <c r="Y99" s="17">
        <f t="shared" si="128"/>
        <v>7.0989281321384642E-3</v>
      </c>
      <c r="Z99" s="17">
        <f t="shared" si="129"/>
        <v>0</v>
      </c>
    </row>
    <row r="100" spans="2:26" ht="15">
      <c r="B100" s="59" t="s">
        <v>32</v>
      </c>
      <c r="C100" s="76">
        <v>107542</v>
      </c>
      <c r="D100" s="77">
        <v>26</v>
      </c>
      <c r="E100" s="75">
        <f t="shared" si="115"/>
        <v>2.4176600769931748E-4</v>
      </c>
      <c r="F100" s="78">
        <v>36.01</v>
      </c>
      <c r="G100" s="35">
        <f t="shared" si="116"/>
        <v>0.33484592066355467</v>
      </c>
      <c r="H100" s="35">
        <f t="shared" si="117"/>
        <v>1.385</v>
      </c>
      <c r="I100" s="77">
        <v>9</v>
      </c>
      <c r="J100" s="59" t="s">
        <v>115</v>
      </c>
      <c r="K100" s="53">
        <v>8.0999999999999996E-3</v>
      </c>
      <c r="L100" s="42">
        <v>111748</v>
      </c>
      <c r="M100" s="12">
        <v>34</v>
      </c>
      <c r="N100" s="43">
        <v>2.9999999999999997E-4</v>
      </c>
      <c r="O100" s="44">
        <v>39.4</v>
      </c>
      <c r="P100" s="44">
        <v>0.35</v>
      </c>
      <c r="Q100" s="44">
        <v>1.1599999999999999</v>
      </c>
      <c r="R100" s="12">
        <v>2</v>
      </c>
      <c r="S100" s="44">
        <v>81.16</v>
      </c>
      <c r="T100" s="87"/>
      <c r="U100" s="59" t="s">
        <v>32</v>
      </c>
      <c r="V100" s="19">
        <f>C100+C101-L100</f>
        <v>-1586</v>
      </c>
      <c r="W100" s="19">
        <f>D100+D101+I100+I101-M100</f>
        <v>8</v>
      </c>
      <c r="X100" s="44">
        <f>F100+F101-O100</f>
        <v>-0.46000000000000085</v>
      </c>
      <c r="Y100" s="17">
        <f>V100/(C100+C101)</f>
        <v>-1.4396978994571631E-2</v>
      </c>
      <c r="Z100" s="17">
        <f>W100/(D100+D101)</f>
        <v>0.24242424242424243</v>
      </c>
    </row>
    <row r="101" spans="2:26" ht="15">
      <c r="B101" s="59" t="s">
        <v>77</v>
      </c>
      <c r="C101" s="48">
        <v>2620</v>
      </c>
      <c r="D101" s="49">
        <v>7</v>
      </c>
      <c r="E101" s="75">
        <f t="shared" si="115"/>
        <v>2.6717557251908397E-3</v>
      </c>
      <c r="F101" s="50">
        <v>2.93</v>
      </c>
      <c r="G101" s="35">
        <f t="shared" si="116"/>
        <v>1.1183206106870229</v>
      </c>
      <c r="H101" s="35">
        <f t="shared" si="117"/>
        <v>0.41857142857142859</v>
      </c>
      <c r="I101" s="49">
        <v>0</v>
      </c>
      <c r="J101" s="59" t="s">
        <v>77</v>
      </c>
      <c r="K101" s="53"/>
      <c r="L101" s="42"/>
      <c r="M101" s="12"/>
      <c r="N101" s="43"/>
      <c r="O101" s="44"/>
      <c r="P101" s="44"/>
      <c r="Q101" s="44"/>
      <c r="R101" s="12"/>
      <c r="S101" s="44"/>
      <c r="T101" s="12"/>
      <c r="U101" s="59" t="s">
        <v>77</v>
      </c>
      <c r="V101" s="19"/>
      <c r="W101" s="19"/>
      <c r="X101" s="44"/>
      <c r="Y101" s="17"/>
      <c r="Z101" s="17"/>
    </row>
    <row r="102" spans="2:26" ht="15">
      <c r="B102" s="59" t="s">
        <v>62</v>
      </c>
      <c r="C102" s="76">
        <v>138472</v>
      </c>
      <c r="D102" s="77">
        <v>77</v>
      </c>
      <c r="E102" s="75">
        <f t="shared" si="115"/>
        <v>5.5606909700155985E-4</v>
      </c>
      <c r="F102" s="78">
        <v>50.88</v>
      </c>
      <c r="G102" s="35">
        <f t="shared" si="116"/>
        <v>0.36743890461609569</v>
      </c>
      <c r="H102" s="35">
        <f t="shared" si="117"/>
        <v>0.6607792207792208</v>
      </c>
      <c r="I102" s="77">
        <v>4</v>
      </c>
      <c r="J102" s="59" t="s">
        <v>62</v>
      </c>
      <c r="K102" s="54">
        <v>2.9000000000000001E-2</v>
      </c>
      <c r="L102" s="42">
        <v>138459</v>
      </c>
      <c r="M102" s="12">
        <v>79</v>
      </c>
      <c r="N102" s="43">
        <v>5.9999999999999995E-4</v>
      </c>
      <c r="O102" s="44">
        <v>50.87</v>
      </c>
      <c r="P102" s="44">
        <v>0.37</v>
      </c>
      <c r="Q102" s="44">
        <v>0.64</v>
      </c>
      <c r="R102" s="12">
        <v>6</v>
      </c>
      <c r="S102" s="44">
        <v>342.32</v>
      </c>
      <c r="T102" s="87"/>
      <c r="U102" s="59" t="s">
        <v>62</v>
      </c>
      <c r="V102" s="19">
        <f t="shared" ref="V102" si="130">C102-L102</f>
        <v>13</v>
      </c>
      <c r="W102" s="19">
        <f t="shared" ref="W102" si="131">D102+I102-M102</f>
        <v>2</v>
      </c>
      <c r="X102" s="44">
        <f t="shared" ref="X102" si="132">F102-O102</f>
        <v>1.0000000000005116E-2</v>
      </c>
      <c r="Y102" s="17">
        <f t="shared" ref="Y102" si="133">V102/C102</f>
        <v>9.3881795597665959E-5</v>
      </c>
      <c r="Z102" s="17">
        <f t="shared" ref="Z102" si="134">W102/D102</f>
        <v>2.5974025974025976E-2</v>
      </c>
    </row>
    <row r="103" spans="2:26" ht="15">
      <c r="B103" s="59" t="s">
        <v>63</v>
      </c>
      <c r="C103" s="48">
        <v>65332</v>
      </c>
      <c r="D103" s="49">
        <v>53</v>
      </c>
      <c r="E103" s="75">
        <f t="shared" si="115"/>
        <v>8.1124104573562729E-4</v>
      </c>
      <c r="F103" s="50">
        <v>54.22</v>
      </c>
      <c r="G103" s="35">
        <f t="shared" si="116"/>
        <v>0.82991489622237191</v>
      </c>
      <c r="H103" s="35">
        <f t="shared" si="117"/>
        <v>1.0230188679245282</v>
      </c>
      <c r="I103" s="49">
        <v>13</v>
      </c>
      <c r="J103" s="59" t="s">
        <v>63</v>
      </c>
      <c r="K103" s="54">
        <v>0.31680000000000003</v>
      </c>
      <c r="L103" s="39">
        <v>65279</v>
      </c>
      <c r="M103" s="13">
        <v>66</v>
      </c>
      <c r="N103" s="40">
        <v>1E-3</v>
      </c>
      <c r="O103" s="41">
        <v>54.18</v>
      </c>
      <c r="P103" s="41">
        <v>0.83</v>
      </c>
      <c r="Q103" s="41">
        <v>0.82</v>
      </c>
      <c r="R103" s="13">
        <v>46</v>
      </c>
      <c r="S103" s="41">
        <v>2488.14</v>
      </c>
      <c r="T103" s="87"/>
      <c r="U103" s="59" t="s">
        <v>63</v>
      </c>
      <c r="V103" s="19">
        <f t="shared" ref="V103:V104" si="135">C103-L103</f>
        <v>53</v>
      </c>
      <c r="W103" s="19">
        <f t="shared" ref="W103:W104" si="136">D103+I103-M103</f>
        <v>0</v>
      </c>
      <c r="X103" s="44">
        <f t="shared" ref="X103:X104" si="137">F103-O103</f>
        <v>3.9999999999999147E-2</v>
      </c>
      <c r="Y103" s="17">
        <f t="shared" ref="Y103:Y104" si="138">V103/C103</f>
        <v>8.1124104573562729E-4</v>
      </c>
      <c r="Z103" s="17">
        <f t="shared" ref="Z103:Z104" si="139">W103/D103</f>
        <v>0</v>
      </c>
    </row>
    <row r="104" spans="2:26" ht="15">
      <c r="B104" s="59" t="s">
        <v>64</v>
      </c>
      <c r="C104" s="48">
        <v>407917</v>
      </c>
      <c r="D104" s="49">
        <v>91</v>
      </c>
      <c r="E104" s="75">
        <f t="shared" si="115"/>
        <v>2.2308459809225895E-4</v>
      </c>
      <c r="F104" s="50">
        <v>96.01</v>
      </c>
      <c r="G104" s="35">
        <f t="shared" si="116"/>
        <v>0.2353665083828328</v>
      </c>
      <c r="H104" s="35">
        <f t="shared" si="117"/>
        <v>1.0550549450549451</v>
      </c>
      <c r="I104" s="49">
        <v>26</v>
      </c>
      <c r="J104" s="59" t="s">
        <v>64</v>
      </c>
      <c r="K104" s="54">
        <v>4.2200000000000001E-2</v>
      </c>
      <c r="L104" s="42">
        <v>411977</v>
      </c>
      <c r="M104" s="12">
        <v>111</v>
      </c>
      <c r="N104" s="43">
        <v>2.9999999999999997E-4</v>
      </c>
      <c r="O104" s="44">
        <v>96.59</v>
      </c>
      <c r="P104" s="44">
        <v>0.23</v>
      </c>
      <c r="Q104" s="44">
        <v>0.87</v>
      </c>
      <c r="R104" s="12">
        <v>3</v>
      </c>
      <c r="S104" s="44">
        <v>35.79</v>
      </c>
      <c r="T104" s="87"/>
      <c r="U104" s="59" t="s">
        <v>64</v>
      </c>
      <c r="V104" s="19">
        <f t="shared" si="135"/>
        <v>-4060</v>
      </c>
      <c r="W104" s="19">
        <f t="shared" si="136"/>
        <v>6</v>
      </c>
      <c r="X104" s="44">
        <f t="shared" si="137"/>
        <v>-0.57999999999999829</v>
      </c>
      <c r="Y104" s="17">
        <f t="shared" si="138"/>
        <v>-9.9530051456546299E-3</v>
      </c>
      <c r="Z104" s="17">
        <f t="shared" si="139"/>
        <v>6.5934065934065936E-2</v>
      </c>
    </row>
    <row r="105" spans="2:26" ht="15">
      <c r="B105" s="59" t="s">
        <v>65</v>
      </c>
      <c r="C105" s="48">
        <v>40078</v>
      </c>
      <c r="D105" s="49">
        <v>24</v>
      </c>
      <c r="E105" s="75">
        <f t="shared" si="115"/>
        <v>5.9883227705973354E-4</v>
      </c>
      <c r="F105" s="50">
        <v>27.58</v>
      </c>
      <c r="G105" s="35">
        <f t="shared" si="116"/>
        <v>0.68815809172114373</v>
      </c>
      <c r="H105" s="35">
        <f t="shared" si="117"/>
        <v>1.1491666666666667</v>
      </c>
      <c r="I105" s="49">
        <v>2</v>
      </c>
      <c r="J105" s="59" t="s">
        <v>65</v>
      </c>
      <c r="K105" s="54">
        <v>4.8500000000000001E-2</v>
      </c>
      <c r="L105" s="39">
        <v>40132</v>
      </c>
      <c r="M105" s="13">
        <v>25</v>
      </c>
      <c r="N105" s="40">
        <v>5.9999999999999995E-4</v>
      </c>
      <c r="O105" s="41">
        <v>27.59</v>
      </c>
      <c r="P105" s="41">
        <v>0.69</v>
      </c>
      <c r="Q105" s="41">
        <v>1.1000000000000001</v>
      </c>
      <c r="R105" s="13">
        <v>13</v>
      </c>
      <c r="S105" s="41">
        <v>274.06</v>
      </c>
      <c r="T105" s="87"/>
      <c r="U105" s="59" t="s">
        <v>65</v>
      </c>
      <c r="V105" s="19">
        <f t="shared" ref="V105:V106" si="140">C105-L105</f>
        <v>-54</v>
      </c>
      <c r="W105" s="19">
        <f t="shared" ref="W105:W106" si="141">D105+I105-M105</f>
        <v>1</v>
      </c>
      <c r="X105" s="44">
        <f t="shared" ref="X105:X106" si="142">F105-O105</f>
        <v>-1.0000000000001563E-2</v>
      </c>
      <c r="Y105" s="17">
        <f t="shared" ref="Y105:Y106" si="143">V105/C105</f>
        <v>-1.3473726233844004E-3</v>
      </c>
      <c r="Z105" s="17">
        <f t="shared" ref="Z105:Z106" si="144">W105/D105</f>
        <v>4.1666666666666664E-2</v>
      </c>
    </row>
    <row r="106" spans="2:26" ht="15">
      <c r="B106" s="59" t="s">
        <v>73</v>
      </c>
      <c r="C106" s="51"/>
      <c r="D106" s="51"/>
      <c r="E106" s="75"/>
      <c r="F106" s="50"/>
      <c r="G106" s="35"/>
      <c r="H106" s="35"/>
      <c r="I106" s="47"/>
      <c r="J106" s="59" t="s">
        <v>73</v>
      </c>
      <c r="K106" s="54"/>
      <c r="L106" s="12"/>
      <c r="M106" s="12"/>
      <c r="N106" s="43"/>
      <c r="O106" s="44"/>
      <c r="P106" s="44"/>
      <c r="Q106" s="44"/>
      <c r="R106" s="12"/>
      <c r="S106" s="44"/>
      <c r="T106" s="87"/>
      <c r="U106" s="59" t="s">
        <v>73</v>
      </c>
      <c r="V106" s="19">
        <f t="shared" si="140"/>
        <v>0</v>
      </c>
      <c r="W106" s="19">
        <f t="shared" si="141"/>
        <v>0</v>
      </c>
      <c r="X106" s="44">
        <f t="shared" si="142"/>
        <v>0</v>
      </c>
      <c r="Y106" s="17" t="e">
        <f t="shared" si="143"/>
        <v>#DIV/0!</v>
      </c>
      <c r="Z106" s="17" t="e">
        <f t="shared" si="144"/>
        <v>#DIV/0!</v>
      </c>
    </row>
    <row r="107" spans="2:26" ht="15">
      <c r="B107" s="59" t="s">
        <v>74</v>
      </c>
      <c r="C107" s="51">
        <v>28149</v>
      </c>
      <c r="D107" s="52">
        <v>35</v>
      </c>
      <c r="E107" s="75">
        <f t="shared" si="115"/>
        <v>1.2433834239226971E-3</v>
      </c>
      <c r="F107" s="52">
        <v>4.3099999999999996</v>
      </c>
      <c r="G107" s="35">
        <f t="shared" ref="G107:G108" si="145">F107/C107*1000</f>
        <v>0.15311378734590925</v>
      </c>
      <c r="H107" s="35">
        <f t="shared" ref="H107:H108" si="146">F107/D107</f>
        <v>0.12314285714285714</v>
      </c>
      <c r="I107" s="49"/>
      <c r="J107" s="59" t="s">
        <v>74</v>
      </c>
      <c r="K107" s="54">
        <v>9.1600000000000001E-2</v>
      </c>
      <c r="L107" s="42">
        <v>422497</v>
      </c>
      <c r="M107" s="12">
        <v>159</v>
      </c>
      <c r="N107" s="43">
        <v>4.0000000000000002E-4</v>
      </c>
      <c r="O107" s="44">
        <v>80.09</v>
      </c>
      <c r="P107" s="44">
        <v>0.19</v>
      </c>
      <c r="Q107" s="44">
        <v>0.5</v>
      </c>
      <c r="R107" s="12">
        <v>1</v>
      </c>
      <c r="S107" s="44">
        <v>46.5</v>
      </c>
      <c r="T107" s="87"/>
      <c r="U107" s="59" t="s">
        <v>74</v>
      </c>
      <c r="V107" s="19">
        <f>C107+C108-L107</f>
        <v>1357</v>
      </c>
      <c r="W107" s="19">
        <f>D107+D108+I107+I108-M107</f>
        <v>5</v>
      </c>
      <c r="X107" s="44">
        <f>F107+F108-O107</f>
        <v>0.79999999999999716</v>
      </c>
      <c r="Y107" s="17">
        <f>V107/(C107+C108)</f>
        <v>3.2015741269399369E-3</v>
      </c>
      <c r="Z107" s="17">
        <f>W107/(D107+D108)</f>
        <v>3.048780487804878E-2</v>
      </c>
    </row>
    <row r="108" spans="2:26" ht="15">
      <c r="B108" s="59" t="s">
        <v>101</v>
      </c>
      <c r="C108" s="103">
        <v>395705</v>
      </c>
      <c r="D108" s="104">
        <v>129</v>
      </c>
      <c r="E108" s="75">
        <f t="shared" si="115"/>
        <v>3.2600042961296923E-4</v>
      </c>
      <c r="F108" s="104">
        <v>76.58</v>
      </c>
      <c r="G108" s="35">
        <f t="shared" si="145"/>
        <v>0.19352800697489292</v>
      </c>
      <c r="H108" s="35">
        <f t="shared" si="146"/>
        <v>0.59364341085271322</v>
      </c>
      <c r="I108" s="105"/>
      <c r="J108" s="59" t="s">
        <v>101</v>
      </c>
      <c r="K108" s="105"/>
      <c r="L108" s="105"/>
      <c r="M108" s="105"/>
      <c r="N108" s="105"/>
      <c r="O108" s="105"/>
      <c r="P108" s="105"/>
      <c r="Q108" s="105"/>
      <c r="R108" s="105"/>
      <c r="S108" s="105"/>
      <c r="T108" s="111"/>
      <c r="U108" s="59" t="s">
        <v>101</v>
      </c>
      <c r="V108" s="19"/>
      <c r="W108" s="19"/>
      <c r="X108" s="44"/>
      <c r="Y108" s="17"/>
      <c r="Z108" s="17"/>
    </row>
    <row r="109" spans="2:26" s="8" customFormat="1" ht="15">
      <c r="B109" s="114">
        <v>53573975</v>
      </c>
      <c r="C109" s="46">
        <f>SUM(C95:C108)</f>
        <v>1338723</v>
      </c>
      <c r="D109" s="46">
        <f>SUM(D95:D108)</f>
        <v>529</v>
      </c>
      <c r="E109" s="75"/>
      <c r="F109" s="50">
        <f>SUM(F95:F108)</f>
        <v>397.9</v>
      </c>
      <c r="G109" s="31"/>
      <c r="H109" s="31"/>
      <c r="I109" s="47"/>
      <c r="J109" s="80"/>
      <c r="K109" s="53"/>
      <c r="L109" s="46">
        <f>SUM(L95:L108)</f>
        <v>1344317</v>
      </c>
      <c r="M109" s="46">
        <f>SUM(M95:M108)</f>
        <v>561</v>
      </c>
      <c r="N109" s="75"/>
      <c r="O109" s="50">
        <f>SUM(O95:O108)</f>
        <v>398.53</v>
      </c>
      <c r="P109" s="44"/>
      <c r="Q109" s="44"/>
      <c r="R109" s="12"/>
      <c r="S109" s="44"/>
      <c r="T109" s="12"/>
      <c r="U109" s="79"/>
      <c r="V109" s="19"/>
      <c r="W109" s="19"/>
      <c r="X109" s="44"/>
      <c r="Y109" s="17"/>
      <c r="Z109" s="17"/>
    </row>
    <row r="110" spans="2:26" ht="15">
      <c r="B110" s="71">
        <v>41213</v>
      </c>
      <c r="C110" s="140" t="s">
        <v>106</v>
      </c>
      <c r="D110" s="138"/>
      <c r="E110" s="138"/>
      <c r="F110" s="138"/>
      <c r="G110" s="138"/>
      <c r="H110" s="138"/>
      <c r="I110" s="139"/>
      <c r="J110" s="71">
        <v>41213</v>
      </c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71">
        <v>41213</v>
      </c>
      <c r="V110" s="105"/>
      <c r="W110" s="105"/>
      <c r="X110" s="105"/>
      <c r="Y110" s="105"/>
      <c r="Z110" s="105"/>
    </row>
    <row r="111" spans="2:26" ht="15">
      <c r="B111" s="59" t="s">
        <v>30</v>
      </c>
      <c r="C111" s="48">
        <v>72513</v>
      </c>
      <c r="D111" s="49">
        <v>31</v>
      </c>
      <c r="E111" s="75">
        <f t="shared" si="115"/>
        <v>4.2750955001172206E-4</v>
      </c>
      <c r="F111" s="50">
        <v>23.73</v>
      </c>
      <c r="G111" s="35">
        <f t="shared" ref="G111" si="147">F111/C111*1000</f>
        <v>0.32725166521865046</v>
      </c>
      <c r="H111" s="35">
        <f t="shared" ref="H111" si="148">F111/D111</f>
        <v>0.76548387096774195</v>
      </c>
      <c r="I111" s="49">
        <v>4</v>
      </c>
      <c r="J111" s="79" t="s">
        <v>30</v>
      </c>
      <c r="K111" s="43">
        <v>4.4999999999999997E-3</v>
      </c>
      <c r="L111" s="42">
        <v>75094</v>
      </c>
      <c r="M111" s="12">
        <v>39</v>
      </c>
      <c r="N111" s="43">
        <v>5.0000000000000001E-4</v>
      </c>
      <c r="O111" s="44">
        <v>25.59</v>
      </c>
      <c r="P111" s="44">
        <v>0.34</v>
      </c>
      <c r="Q111" s="44">
        <v>0.66</v>
      </c>
      <c r="R111" s="12">
        <v>0</v>
      </c>
      <c r="S111" s="44">
        <v>0</v>
      </c>
      <c r="T111" s="111"/>
      <c r="U111" s="59" t="s">
        <v>30</v>
      </c>
      <c r="V111" s="19">
        <f>C111+C112-L111</f>
        <v>-1302</v>
      </c>
      <c r="W111" s="19">
        <f>D111+D112+I111+I112-M111</f>
        <v>1</v>
      </c>
      <c r="X111" s="44">
        <f>F111+F112-O111</f>
        <v>-0.42999999999999972</v>
      </c>
      <c r="Y111" s="17">
        <f>V111/(C111+C112)</f>
        <v>-1.7644189071986123E-2</v>
      </c>
      <c r="Z111" s="17">
        <f>W111/(D111+D112)</f>
        <v>2.7777777777777776E-2</v>
      </c>
    </row>
    <row r="112" spans="2:26" ht="15">
      <c r="B112" s="59" t="s">
        <v>76</v>
      </c>
      <c r="C112" s="48">
        <v>1279</v>
      </c>
      <c r="D112" s="49">
        <v>5</v>
      </c>
      <c r="E112" s="75">
        <f t="shared" si="115"/>
        <v>3.9093041438623922E-3</v>
      </c>
      <c r="F112" s="50">
        <v>1.43</v>
      </c>
      <c r="G112" s="35">
        <f t="shared" ref="G112:G124" si="149">F112/C112*1000</f>
        <v>1.1180609851446441</v>
      </c>
      <c r="H112" s="35">
        <f t="shared" ref="H112:H124" si="150">F112/D112</f>
        <v>0.28599999999999998</v>
      </c>
      <c r="I112" s="49">
        <v>0</v>
      </c>
      <c r="J112" s="79" t="s">
        <v>76</v>
      </c>
      <c r="K112" s="43"/>
      <c r="L112" s="99"/>
      <c r="M112" s="99"/>
      <c r="N112" s="99"/>
      <c r="O112" s="99"/>
      <c r="P112" s="99"/>
      <c r="Q112" s="99"/>
      <c r="R112" s="99"/>
      <c r="S112" s="99"/>
      <c r="T112" s="111"/>
      <c r="U112" s="59" t="s">
        <v>76</v>
      </c>
      <c r="V112" s="105"/>
      <c r="W112" s="105"/>
      <c r="X112" s="105"/>
      <c r="Y112" s="105"/>
      <c r="Z112" s="105"/>
    </row>
    <row r="113" spans="2:26" ht="15">
      <c r="B113" s="59" t="s">
        <v>59</v>
      </c>
      <c r="C113" s="48">
        <v>5790</v>
      </c>
      <c r="D113" s="49">
        <v>1</v>
      </c>
      <c r="E113" s="75">
        <f t="shared" si="115"/>
        <v>1.7271157167530224E-4</v>
      </c>
      <c r="F113" s="50">
        <v>1.38</v>
      </c>
      <c r="G113" s="35">
        <f t="shared" si="149"/>
        <v>0.23834196891191708</v>
      </c>
      <c r="H113" s="35">
        <f t="shared" si="150"/>
        <v>1.38</v>
      </c>
      <c r="I113" s="49">
        <v>0</v>
      </c>
      <c r="J113" s="79" t="s">
        <v>59</v>
      </c>
      <c r="K113" s="43">
        <v>1.4E-3</v>
      </c>
      <c r="L113" s="42">
        <v>5763</v>
      </c>
      <c r="M113" s="12">
        <v>1</v>
      </c>
      <c r="N113" s="43">
        <v>2.0000000000000001E-4</v>
      </c>
      <c r="O113" s="44">
        <v>1.38</v>
      </c>
      <c r="P113" s="44">
        <v>0.24</v>
      </c>
      <c r="Q113" s="44">
        <v>1.38</v>
      </c>
      <c r="R113" s="12">
        <v>0</v>
      </c>
      <c r="S113" s="44">
        <v>0</v>
      </c>
      <c r="T113" s="111"/>
      <c r="U113" s="59" t="s">
        <v>59</v>
      </c>
      <c r="V113" s="19">
        <f t="shared" ref="V113" si="151">C113-L113</f>
        <v>27</v>
      </c>
      <c r="W113" s="19">
        <f t="shared" ref="W113" si="152">D113+I113-M113</f>
        <v>0</v>
      </c>
      <c r="X113" s="44">
        <f t="shared" ref="X113" si="153">F113-O113</f>
        <v>0</v>
      </c>
      <c r="Y113" s="17">
        <f t="shared" ref="Y113" si="154">V113/C113</f>
        <v>4.6632124352331602E-3</v>
      </c>
      <c r="Z113" s="17">
        <f t="shared" ref="Z113" si="155">W113/D113</f>
        <v>0</v>
      </c>
    </row>
    <row r="114" spans="2:26" ht="15">
      <c r="B114" s="59" t="s">
        <v>60</v>
      </c>
      <c r="C114" s="49">
        <v>273</v>
      </c>
      <c r="D114" s="49">
        <v>0</v>
      </c>
      <c r="E114" s="75">
        <f t="shared" si="115"/>
        <v>0</v>
      </c>
      <c r="F114" s="50">
        <v>0.18</v>
      </c>
      <c r="G114" s="35">
        <f t="shared" si="149"/>
        <v>0.65934065934065933</v>
      </c>
      <c r="H114" s="35" t="e">
        <f t="shared" si="150"/>
        <v>#DIV/0!</v>
      </c>
      <c r="I114" s="49">
        <v>0</v>
      </c>
      <c r="J114" s="79" t="s">
        <v>60</v>
      </c>
      <c r="K114" s="43">
        <v>0.108</v>
      </c>
      <c r="L114" s="99">
        <v>267</v>
      </c>
      <c r="M114" s="99">
        <v>0</v>
      </c>
      <c r="N114" s="43">
        <v>0</v>
      </c>
      <c r="O114" s="44">
        <v>0.16999999999999998</v>
      </c>
      <c r="P114" s="44">
        <f>O114/L114*1000</f>
        <v>0.63670411985018716</v>
      </c>
      <c r="Q114" s="44" t="e">
        <f>P114/M114*1000</f>
        <v>#DIV/0!</v>
      </c>
      <c r="R114" s="99"/>
      <c r="S114" s="99"/>
      <c r="T114" s="111"/>
      <c r="U114" s="59" t="s">
        <v>60</v>
      </c>
      <c r="V114" s="19">
        <f t="shared" ref="V114:V115" si="156">C114-L114</f>
        <v>6</v>
      </c>
      <c r="W114" s="19">
        <f t="shared" ref="W114:W115" si="157">D114+I114-M114</f>
        <v>0</v>
      </c>
      <c r="X114" s="44">
        <f t="shared" ref="X114:X115" si="158">F114-O114</f>
        <v>1.0000000000000009E-2</v>
      </c>
      <c r="Y114" s="17">
        <f t="shared" ref="Y114:Y115" si="159">V114/C114</f>
        <v>2.197802197802198E-2</v>
      </c>
      <c r="Z114" s="17" t="e">
        <f t="shared" ref="Z114:Z115" si="160">W114/D114</f>
        <v>#DIV/0!</v>
      </c>
    </row>
    <row r="115" spans="2:26" ht="15">
      <c r="B115" s="59" t="s">
        <v>61</v>
      </c>
      <c r="C115" s="48">
        <v>11876</v>
      </c>
      <c r="D115" s="49">
        <v>1</v>
      </c>
      <c r="E115" s="75">
        <f t="shared" si="115"/>
        <v>8.4203435500168405E-5</v>
      </c>
      <c r="F115" s="50">
        <v>2.54</v>
      </c>
      <c r="G115" s="35">
        <f t="shared" si="149"/>
        <v>0.21387672617042777</v>
      </c>
      <c r="H115" s="35">
        <f t="shared" si="150"/>
        <v>2.54</v>
      </c>
      <c r="I115" s="49">
        <v>0</v>
      </c>
      <c r="J115" s="79" t="s">
        <v>61</v>
      </c>
      <c r="K115" s="43">
        <v>2.7000000000000001E-3</v>
      </c>
      <c r="L115" s="42">
        <v>11792</v>
      </c>
      <c r="M115" s="12">
        <v>1</v>
      </c>
      <c r="N115" s="43">
        <v>1E-4</v>
      </c>
      <c r="O115" s="44">
        <v>2.52</v>
      </c>
      <c r="P115" s="44">
        <v>0.21</v>
      </c>
      <c r="Q115" s="44">
        <v>2.52</v>
      </c>
      <c r="R115" s="12">
        <v>0</v>
      </c>
      <c r="S115" s="44">
        <v>0</v>
      </c>
      <c r="T115" s="111"/>
      <c r="U115" s="59" t="s">
        <v>61</v>
      </c>
      <c r="V115" s="19">
        <f t="shared" si="156"/>
        <v>84</v>
      </c>
      <c r="W115" s="19">
        <f t="shared" si="157"/>
        <v>0</v>
      </c>
      <c r="X115" s="44">
        <f t="shared" si="158"/>
        <v>2.0000000000000018E-2</v>
      </c>
      <c r="Y115" s="17">
        <f t="shared" si="159"/>
        <v>7.073088582014146E-3</v>
      </c>
      <c r="Z115" s="17">
        <f t="shared" si="160"/>
        <v>0</v>
      </c>
    </row>
    <row r="116" spans="2:26" ht="15">
      <c r="B116" s="59" t="s">
        <v>32</v>
      </c>
      <c r="C116" s="48">
        <v>35449</v>
      </c>
      <c r="D116" s="49">
        <v>13</v>
      </c>
      <c r="E116" s="75">
        <f t="shared" si="115"/>
        <v>3.667240260656154E-4</v>
      </c>
      <c r="F116" s="50">
        <v>11.46</v>
      </c>
      <c r="G116" s="35">
        <f t="shared" si="149"/>
        <v>0.3232813337470733</v>
      </c>
      <c r="H116" s="35">
        <f t="shared" si="150"/>
        <v>0.8815384615384616</v>
      </c>
      <c r="I116" s="49">
        <v>2</v>
      </c>
      <c r="J116" s="79" t="s">
        <v>32</v>
      </c>
      <c r="K116" s="43">
        <v>9.9000000000000008E-3</v>
      </c>
      <c r="L116" s="42">
        <v>37582</v>
      </c>
      <c r="M116" s="12">
        <v>19</v>
      </c>
      <c r="N116" s="43">
        <v>5.0000000000000001E-4</v>
      </c>
      <c r="O116" s="44">
        <v>13.39</v>
      </c>
      <c r="P116" s="44">
        <v>0.36</v>
      </c>
      <c r="Q116" s="44">
        <v>0.7</v>
      </c>
      <c r="R116" s="12">
        <v>3</v>
      </c>
      <c r="S116" s="44">
        <v>141.63999999999999</v>
      </c>
      <c r="T116" s="111"/>
      <c r="U116" s="59" t="s">
        <v>32</v>
      </c>
      <c r="V116" s="19">
        <f>C116+C117-L116</f>
        <v>-491</v>
      </c>
      <c r="W116" s="19">
        <f>D116+D117+I116+I117-M116</f>
        <v>0</v>
      </c>
      <c r="X116" s="44">
        <f>F116+F117-O116</f>
        <v>-0.16000000000000014</v>
      </c>
      <c r="Y116" s="17">
        <f>V116/(C116+C117)</f>
        <v>-1.3237712652665067E-2</v>
      </c>
      <c r="Z116" s="17">
        <f>W116/(D116+D117)</f>
        <v>0</v>
      </c>
    </row>
    <row r="117" spans="2:26" ht="15">
      <c r="B117" s="59" t="s">
        <v>77</v>
      </c>
      <c r="C117" s="48">
        <v>1642</v>
      </c>
      <c r="D117" s="49">
        <v>4</v>
      </c>
      <c r="E117" s="75">
        <f t="shared" si="115"/>
        <v>2.4360535931790498E-3</v>
      </c>
      <c r="F117" s="50">
        <v>1.77</v>
      </c>
      <c r="G117" s="35">
        <f t="shared" si="149"/>
        <v>1.0779537149817295</v>
      </c>
      <c r="H117" s="35">
        <f t="shared" si="150"/>
        <v>0.4425</v>
      </c>
      <c r="I117" s="49">
        <v>0</v>
      </c>
      <c r="J117" s="79" t="s">
        <v>77</v>
      </c>
      <c r="K117" s="43"/>
      <c r="L117" s="123"/>
      <c r="M117" s="123"/>
      <c r="N117" s="123"/>
      <c r="O117" s="123"/>
      <c r="P117" s="123"/>
      <c r="Q117" s="123"/>
      <c r="R117" s="123"/>
      <c r="S117" s="123"/>
      <c r="T117" s="111"/>
      <c r="U117" s="59" t="s">
        <v>77</v>
      </c>
      <c r="V117" s="105"/>
      <c r="W117" s="105"/>
      <c r="X117" s="105"/>
      <c r="Y117" s="105"/>
      <c r="Z117" s="105"/>
    </row>
    <row r="118" spans="2:26" ht="15">
      <c r="B118" s="59" t="s">
        <v>62</v>
      </c>
      <c r="C118" s="48">
        <v>138029</v>
      </c>
      <c r="D118" s="49">
        <v>72</v>
      </c>
      <c r="E118" s="75">
        <f t="shared" si="115"/>
        <v>5.2162951263864845E-4</v>
      </c>
      <c r="F118" s="50">
        <v>49.89</v>
      </c>
      <c r="G118" s="35">
        <f t="shared" si="149"/>
        <v>0.36144578313253012</v>
      </c>
      <c r="H118" s="35">
        <f t="shared" si="150"/>
        <v>0.69291666666666663</v>
      </c>
      <c r="I118" s="49">
        <v>1</v>
      </c>
      <c r="J118" s="79" t="s">
        <v>62</v>
      </c>
      <c r="K118" s="43">
        <v>1.9599999999999999E-2</v>
      </c>
      <c r="L118" s="39">
        <v>138380</v>
      </c>
      <c r="M118" s="13">
        <v>72</v>
      </c>
      <c r="N118" s="40">
        <v>5.0000000000000001E-4</v>
      </c>
      <c r="O118" s="41">
        <v>50.01</v>
      </c>
      <c r="P118" s="41">
        <v>0.36</v>
      </c>
      <c r="Q118" s="41">
        <v>0.69</v>
      </c>
      <c r="R118" s="13">
        <v>9</v>
      </c>
      <c r="S118" s="41">
        <v>418.04</v>
      </c>
      <c r="T118" s="111"/>
      <c r="U118" s="59" t="s">
        <v>62</v>
      </c>
      <c r="V118" s="19">
        <f t="shared" ref="V118" si="161">C118-L118</f>
        <v>-351</v>
      </c>
      <c r="W118" s="19">
        <f t="shared" ref="W118" si="162">D118+I118-M118</f>
        <v>1</v>
      </c>
      <c r="X118" s="44">
        <f t="shared" ref="X118" si="163">F118-O118</f>
        <v>-0.11999999999999744</v>
      </c>
      <c r="Y118" s="17">
        <f t="shared" ref="Y118" si="164">V118/C118</f>
        <v>-2.5429438741134108E-3</v>
      </c>
      <c r="Z118" s="17">
        <f t="shared" ref="Z118" si="165">W118/D118</f>
        <v>1.3888888888888888E-2</v>
      </c>
    </row>
    <row r="119" spans="2:26" ht="15">
      <c r="B119" s="59" t="s">
        <v>63</v>
      </c>
      <c r="C119" s="48">
        <v>118610</v>
      </c>
      <c r="D119" s="49">
        <v>109</v>
      </c>
      <c r="E119" s="75">
        <f t="shared" si="115"/>
        <v>9.1897816372987101E-4</v>
      </c>
      <c r="F119" s="50">
        <v>100.08</v>
      </c>
      <c r="G119" s="35">
        <f t="shared" si="149"/>
        <v>0.84377371216592201</v>
      </c>
      <c r="H119" s="35">
        <f t="shared" si="150"/>
        <v>0.91816513761467888</v>
      </c>
      <c r="I119" s="49">
        <v>1</v>
      </c>
      <c r="J119" s="79" t="s">
        <v>63</v>
      </c>
      <c r="K119" s="43">
        <v>0.22900000000000001</v>
      </c>
      <c r="L119" s="42">
        <v>118394</v>
      </c>
      <c r="M119" s="12">
        <v>110</v>
      </c>
      <c r="N119" s="43">
        <v>8.9999999999999998E-4</v>
      </c>
      <c r="O119" s="44">
        <v>99.85</v>
      </c>
      <c r="P119" s="44">
        <v>0.84</v>
      </c>
      <c r="Q119" s="44">
        <v>0.91</v>
      </c>
      <c r="R119" s="12">
        <v>59</v>
      </c>
      <c r="S119" s="44">
        <v>5059.71</v>
      </c>
      <c r="T119" s="111"/>
      <c r="U119" s="59" t="s">
        <v>63</v>
      </c>
      <c r="V119" s="19">
        <f t="shared" ref="V119:V122" si="166">C119-L119</f>
        <v>216</v>
      </c>
      <c r="W119" s="19">
        <f t="shared" ref="W119:W122" si="167">D119+I119-M119</f>
        <v>0</v>
      </c>
      <c r="X119" s="44">
        <f t="shared" ref="X119:X122" si="168">F119-O119</f>
        <v>0.23000000000000398</v>
      </c>
      <c r="Y119" s="17">
        <f t="shared" ref="Y119:Y122" si="169">V119/C119</f>
        <v>1.821094342804148E-3</v>
      </c>
      <c r="Z119" s="17">
        <f t="shared" ref="Z119:Z122" si="170">W119/D119</f>
        <v>0</v>
      </c>
    </row>
    <row r="120" spans="2:26" ht="15">
      <c r="B120" s="59" t="s">
        <v>64</v>
      </c>
      <c r="C120" s="48">
        <v>244522</v>
      </c>
      <c r="D120" s="49">
        <v>37</v>
      </c>
      <c r="E120" s="75">
        <f t="shared" si="115"/>
        <v>1.5131562804164859E-4</v>
      </c>
      <c r="F120" s="50">
        <v>60.8</v>
      </c>
      <c r="G120" s="35">
        <f t="shared" si="149"/>
        <v>0.24864838337654691</v>
      </c>
      <c r="H120" s="35">
        <f t="shared" si="150"/>
        <v>1.6432432432432431</v>
      </c>
      <c r="I120" s="49">
        <v>38</v>
      </c>
      <c r="J120" s="80" t="s">
        <v>64</v>
      </c>
      <c r="K120" s="43">
        <v>6.8999999999999999E-3</v>
      </c>
      <c r="L120" s="115">
        <v>246697</v>
      </c>
      <c r="M120" s="116">
        <v>73</v>
      </c>
      <c r="N120" s="117">
        <v>2.9999999999999997E-4</v>
      </c>
      <c r="O120" s="118">
        <v>61.19</v>
      </c>
      <c r="P120" s="118">
        <v>0.25</v>
      </c>
      <c r="Q120" s="118">
        <v>0.84</v>
      </c>
      <c r="R120" s="116">
        <v>0</v>
      </c>
      <c r="S120" s="118">
        <v>0</v>
      </c>
      <c r="T120" s="111"/>
      <c r="U120" s="59" t="s">
        <v>64</v>
      </c>
      <c r="V120" s="19">
        <f t="shared" si="166"/>
        <v>-2175</v>
      </c>
      <c r="W120" s="19">
        <f t="shared" si="167"/>
        <v>2</v>
      </c>
      <c r="X120" s="44">
        <f t="shared" si="168"/>
        <v>-0.39000000000000057</v>
      </c>
      <c r="Y120" s="17">
        <f t="shared" si="169"/>
        <v>-8.8949051619077214E-3</v>
      </c>
      <c r="Z120" s="17">
        <f t="shared" si="170"/>
        <v>5.4054054054054057E-2</v>
      </c>
    </row>
    <row r="121" spans="2:26" ht="15">
      <c r="B121" s="59" t="s">
        <v>65</v>
      </c>
      <c r="C121" s="48">
        <v>12530</v>
      </c>
      <c r="D121" s="49">
        <v>2</v>
      </c>
      <c r="E121" s="75">
        <f t="shared" si="115"/>
        <v>1.5961691939345569E-4</v>
      </c>
      <c r="F121" s="50">
        <v>8.48</v>
      </c>
      <c r="G121" s="35">
        <f t="shared" si="149"/>
        <v>0.67677573822825221</v>
      </c>
      <c r="H121" s="35">
        <f t="shared" si="150"/>
        <v>4.24</v>
      </c>
      <c r="I121" s="49">
        <v>0</v>
      </c>
      <c r="J121" s="80" t="s">
        <v>65</v>
      </c>
      <c r="K121" s="43">
        <v>1.84E-2</v>
      </c>
      <c r="L121" s="119">
        <v>12632</v>
      </c>
      <c r="M121" s="120">
        <v>2</v>
      </c>
      <c r="N121" s="121">
        <v>2.0000000000000001E-4</v>
      </c>
      <c r="O121" s="122">
        <v>8.52</v>
      </c>
      <c r="P121" s="122">
        <v>0.67</v>
      </c>
      <c r="Q121" s="122">
        <v>4.26</v>
      </c>
      <c r="R121" s="120">
        <v>16</v>
      </c>
      <c r="S121" s="122">
        <v>425.82</v>
      </c>
      <c r="T121" s="111"/>
      <c r="U121" s="59" t="s">
        <v>65</v>
      </c>
      <c r="V121" s="19">
        <f t="shared" si="166"/>
        <v>-102</v>
      </c>
      <c r="W121" s="19">
        <f t="shared" si="167"/>
        <v>0</v>
      </c>
      <c r="X121" s="44">
        <f t="shared" si="168"/>
        <v>-3.9999999999999147E-2</v>
      </c>
      <c r="Y121" s="17">
        <f t="shared" si="169"/>
        <v>-8.1404628890662419E-3</v>
      </c>
      <c r="Z121" s="17">
        <f t="shared" si="170"/>
        <v>0</v>
      </c>
    </row>
    <row r="122" spans="2:26" ht="15">
      <c r="B122" s="59" t="s">
        <v>73</v>
      </c>
      <c r="C122" s="112">
        <v>135590</v>
      </c>
      <c r="D122" s="113">
        <v>106</v>
      </c>
      <c r="E122" s="75">
        <f t="shared" si="115"/>
        <v>7.8176856700346638E-4</v>
      </c>
      <c r="F122" s="113">
        <v>23.03</v>
      </c>
      <c r="G122" s="35">
        <f t="shared" si="149"/>
        <v>0.1698502839442437</v>
      </c>
      <c r="H122" s="35">
        <f t="shared" si="150"/>
        <v>0.21726415094339624</v>
      </c>
      <c r="I122" s="110"/>
      <c r="J122" s="56" t="s">
        <v>73</v>
      </c>
      <c r="K122" s="43">
        <v>4.0800000000000003E-2</v>
      </c>
      <c r="L122" s="115">
        <v>154248</v>
      </c>
      <c r="M122" s="116">
        <v>92</v>
      </c>
      <c r="N122" s="117">
        <v>5.9999999999999995E-4</v>
      </c>
      <c r="O122" s="118">
        <v>26.07</v>
      </c>
      <c r="P122" s="118">
        <v>0.17</v>
      </c>
      <c r="Q122" s="118">
        <v>0.28000000000000003</v>
      </c>
      <c r="R122" s="116">
        <v>0</v>
      </c>
      <c r="S122" s="118">
        <v>0</v>
      </c>
      <c r="T122" s="111"/>
      <c r="U122" s="59" t="s">
        <v>73</v>
      </c>
      <c r="V122" s="19">
        <f t="shared" si="166"/>
        <v>-18658</v>
      </c>
      <c r="W122" s="19">
        <f t="shared" si="167"/>
        <v>14</v>
      </c>
      <c r="X122" s="44">
        <f t="shared" si="168"/>
        <v>-3.0399999999999991</v>
      </c>
      <c r="Y122" s="17">
        <f t="shared" si="169"/>
        <v>-0.13760601814293089</v>
      </c>
      <c r="Z122" s="17">
        <f t="shared" si="170"/>
        <v>0.13207547169811321</v>
      </c>
    </row>
    <row r="123" spans="2:26" ht="15">
      <c r="B123" s="59" t="s">
        <v>74</v>
      </c>
      <c r="C123" s="51">
        <v>47157</v>
      </c>
      <c r="D123" s="52">
        <v>37</v>
      </c>
      <c r="E123" s="75">
        <f t="shared" si="115"/>
        <v>7.8461310091820942E-4</v>
      </c>
      <c r="F123" s="52">
        <v>7.63</v>
      </c>
      <c r="G123" s="35">
        <f t="shared" si="149"/>
        <v>0.16179994486502536</v>
      </c>
      <c r="H123" s="35">
        <f t="shared" si="150"/>
        <v>0.20621621621621622</v>
      </c>
      <c r="I123" s="105"/>
      <c r="J123" s="59" t="s">
        <v>74</v>
      </c>
      <c r="K123" s="43">
        <v>6.6299999999999998E-2</v>
      </c>
      <c r="L123" s="42">
        <v>563570</v>
      </c>
      <c r="M123" s="12">
        <v>218</v>
      </c>
      <c r="N123" s="43">
        <v>4.0000000000000002E-4</v>
      </c>
      <c r="O123" s="44">
        <v>107.6</v>
      </c>
      <c r="P123" s="44">
        <v>0.19</v>
      </c>
      <c r="Q123" s="44">
        <v>0.49</v>
      </c>
      <c r="R123" s="12">
        <v>0</v>
      </c>
      <c r="S123" s="44">
        <v>0</v>
      </c>
      <c r="T123" s="111"/>
      <c r="U123" s="59" t="s">
        <v>74</v>
      </c>
      <c r="V123" s="19">
        <f>C123+C124-L123</f>
        <v>-20462</v>
      </c>
      <c r="W123" s="19">
        <f>D123+D124+I123+I124-M123</f>
        <v>-1</v>
      </c>
      <c r="X123" s="44">
        <f>F123+F124-O123</f>
        <v>-2.7000000000000028</v>
      </c>
      <c r="Y123" s="17">
        <f>V123/(C123+C124)</f>
        <v>-3.7675747733415824E-2</v>
      </c>
      <c r="Z123" s="17">
        <f>W123/(D123+D124)</f>
        <v>-4.608294930875576E-3</v>
      </c>
    </row>
    <row r="124" spans="2:26" ht="15">
      <c r="B124" s="59" t="s">
        <v>101</v>
      </c>
      <c r="C124" s="103">
        <v>495951</v>
      </c>
      <c r="D124" s="104">
        <v>180</v>
      </c>
      <c r="E124" s="75">
        <f t="shared" si="115"/>
        <v>3.6293908067530867E-4</v>
      </c>
      <c r="F124" s="104">
        <v>97.27</v>
      </c>
      <c r="G124" s="35">
        <f t="shared" si="149"/>
        <v>0.19612824654048483</v>
      </c>
      <c r="H124" s="35">
        <f t="shared" si="150"/>
        <v>0.54038888888888892</v>
      </c>
      <c r="I124" s="105"/>
      <c r="J124" s="59" t="s">
        <v>101</v>
      </c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59" t="s">
        <v>101</v>
      </c>
      <c r="V124" s="105"/>
      <c r="W124" s="105"/>
      <c r="X124" s="105"/>
      <c r="Y124" s="105"/>
      <c r="Z124" s="105"/>
    </row>
    <row r="125" spans="2:26" s="8" customFormat="1" ht="15">
      <c r="B125" s="114">
        <v>85219452</v>
      </c>
      <c r="C125" s="46">
        <f>SUM(C111:C124)</f>
        <v>1321211</v>
      </c>
      <c r="D125" s="46">
        <f>SUM(D111:D124)</f>
        <v>598</v>
      </c>
      <c r="E125" s="75"/>
      <c r="F125" s="50">
        <f>SUM(F111:F124)</f>
        <v>389.66999999999996</v>
      </c>
      <c r="G125" s="31"/>
      <c r="H125" s="31"/>
      <c r="I125" s="47"/>
      <c r="J125" s="80"/>
      <c r="K125" s="53"/>
      <c r="L125" s="46">
        <f>SUM(L111:L124)</f>
        <v>1364419</v>
      </c>
      <c r="M125" s="46">
        <f>SUM(M111:M124)</f>
        <v>627</v>
      </c>
      <c r="N125" s="75"/>
      <c r="O125" s="50">
        <f>SUM(O111:O124)</f>
        <v>396.28999999999996</v>
      </c>
      <c r="P125" s="44"/>
      <c r="Q125" s="44"/>
      <c r="R125" s="12"/>
      <c r="S125" s="44"/>
      <c r="T125" s="12"/>
      <c r="U125" s="79"/>
      <c r="V125" s="19"/>
      <c r="W125" s="19"/>
      <c r="X125" s="44"/>
      <c r="Y125" s="17"/>
      <c r="Z125" s="17"/>
    </row>
    <row r="126" spans="2:26" s="8" customFormat="1" ht="15">
      <c r="B126" s="71">
        <v>41214</v>
      </c>
      <c r="C126" s="141"/>
      <c r="D126" s="142"/>
      <c r="E126" s="142"/>
      <c r="F126" s="142"/>
      <c r="G126" s="142"/>
      <c r="H126" s="142"/>
      <c r="I126" s="143"/>
      <c r="J126" s="71">
        <v>41214</v>
      </c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71">
        <v>41214</v>
      </c>
      <c r="V126" s="105"/>
      <c r="W126" s="105"/>
      <c r="X126" s="105"/>
      <c r="Y126" s="105"/>
      <c r="Z126" s="105"/>
    </row>
    <row r="127" spans="2:26" s="8" customFormat="1" ht="15">
      <c r="B127" s="56" t="s">
        <v>30</v>
      </c>
      <c r="C127" s="124">
        <v>64348</v>
      </c>
      <c r="D127" s="125">
        <v>23</v>
      </c>
      <c r="E127" s="75">
        <f t="shared" ref="E127:E140" si="171">D127/C127</f>
        <v>3.5743146640144217E-4</v>
      </c>
      <c r="F127" s="126">
        <v>21.47</v>
      </c>
      <c r="G127" s="35">
        <f t="shared" ref="G127:G140" si="172">F127/C127*1000</f>
        <v>0.33365450363647664</v>
      </c>
      <c r="H127" s="35">
        <f t="shared" ref="H127:H140" si="173">F127/D127</f>
        <v>0.9334782608695652</v>
      </c>
      <c r="I127" s="125">
        <v>0</v>
      </c>
      <c r="J127" s="79" t="s">
        <v>114</v>
      </c>
      <c r="K127" s="43"/>
      <c r="L127" s="42">
        <v>66202</v>
      </c>
      <c r="M127" s="12">
        <v>24</v>
      </c>
      <c r="N127" s="43">
        <f>M127/L127</f>
        <v>3.6252681187879521E-4</v>
      </c>
      <c r="O127" s="44">
        <v>22.71</v>
      </c>
      <c r="P127" s="44">
        <f>O127/L127*1000</f>
        <v>0.34304099574031</v>
      </c>
      <c r="Q127" s="44">
        <f>O127/M127</f>
        <v>0.94625000000000004</v>
      </c>
      <c r="R127" s="12">
        <v>0</v>
      </c>
      <c r="S127" s="44">
        <v>0</v>
      </c>
      <c r="T127" s="111"/>
      <c r="U127" s="59" t="s">
        <v>30</v>
      </c>
      <c r="V127" s="19"/>
      <c r="W127" s="19"/>
      <c r="X127" s="44"/>
      <c r="Y127" s="17"/>
      <c r="Z127" s="17"/>
    </row>
    <row r="128" spans="2:26" s="8" customFormat="1" ht="15">
      <c r="B128" s="56" t="s">
        <v>76</v>
      </c>
      <c r="C128" s="125">
        <v>890</v>
      </c>
      <c r="D128" s="125">
        <v>0</v>
      </c>
      <c r="E128" s="75">
        <f t="shared" si="171"/>
        <v>0</v>
      </c>
      <c r="F128" s="126">
        <v>0.94</v>
      </c>
      <c r="G128" s="35">
        <f t="shared" si="172"/>
        <v>1.056179775280899</v>
      </c>
      <c r="H128" s="35" t="e">
        <f t="shared" si="173"/>
        <v>#DIV/0!</v>
      </c>
      <c r="I128" s="125">
        <v>0</v>
      </c>
      <c r="J128" s="79" t="s">
        <v>76</v>
      </c>
      <c r="K128" s="43"/>
      <c r="L128" s="99"/>
      <c r="M128" s="99"/>
      <c r="N128" s="43"/>
      <c r="O128" s="99"/>
      <c r="P128" s="44"/>
      <c r="Q128" s="44"/>
      <c r="R128" s="99"/>
      <c r="S128" s="99"/>
      <c r="T128" s="111"/>
      <c r="U128" s="59" t="s">
        <v>76</v>
      </c>
      <c r="V128" s="105"/>
      <c r="W128" s="105"/>
      <c r="X128" s="105"/>
      <c r="Y128" s="105"/>
      <c r="Z128" s="105"/>
    </row>
    <row r="129" spans="2:26" s="8" customFormat="1" ht="15">
      <c r="B129" s="56" t="s">
        <v>59</v>
      </c>
      <c r="C129" s="124">
        <v>9197</v>
      </c>
      <c r="D129" s="125">
        <v>5</v>
      </c>
      <c r="E129" s="75">
        <f t="shared" si="171"/>
        <v>5.4365553984995108E-4</v>
      </c>
      <c r="F129" s="126">
        <v>2.25</v>
      </c>
      <c r="G129" s="35">
        <f t="shared" si="172"/>
        <v>0.24464499293247796</v>
      </c>
      <c r="H129" s="35">
        <f t="shared" si="173"/>
        <v>0.45</v>
      </c>
      <c r="I129" s="125">
        <v>0</v>
      </c>
      <c r="J129" s="79" t="s">
        <v>113</v>
      </c>
      <c r="K129" s="43"/>
      <c r="L129" s="42">
        <v>9148</v>
      </c>
      <c r="M129" s="12">
        <v>5</v>
      </c>
      <c r="N129" s="43">
        <f t="shared" ref="N129:N139" si="174">M129/L129</f>
        <v>5.4656755574989063E-4</v>
      </c>
      <c r="O129" s="44">
        <v>2.23</v>
      </c>
      <c r="P129" s="44">
        <f t="shared" ref="P129:P139" si="175">O129/L129*1000</f>
        <v>0.24376912986445123</v>
      </c>
      <c r="Q129" s="44">
        <f t="shared" ref="Q129:Q139" si="176">O129/M129</f>
        <v>0.44600000000000001</v>
      </c>
      <c r="R129" s="12">
        <v>0</v>
      </c>
      <c r="S129" s="44">
        <v>0</v>
      </c>
      <c r="T129" s="111"/>
      <c r="U129" s="59" t="s">
        <v>59</v>
      </c>
      <c r="V129" s="19"/>
      <c r="W129" s="19"/>
      <c r="X129" s="44"/>
      <c r="Y129" s="17"/>
      <c r="Z129" s="17"/>
    </row>
    <row r="130" spans="2:26" s="8" customFormat="1" ht="15">
      <c r="B130" s="56" t="s">
        <v>60</v>
      </c>
      <c r="C130" s="125">
        <v>327</v>
      </c>
      <c r="D130" s="125">
        <v>2</v>
      </c>
      <c r="E130" s="75">
        <f t="shared" si="171"/>
        <v>6.1162079510703364E-3</v>
      </c>
      <c r="F130" s="126">
        <v>0.18</v>
      </c>
      <c r="G130" s="35">
        <f t="shared" si="172"/>
        <v>0.55045871559633019</v>
      </c>
      <c r="H130" s="35">
        <f t="shared" si="173"/>
        <v>0.09</v>
      </c>
      <c r="I130" s="125">
        <v>0</v>
      </c>
      <c r="J130" s="79" t="s">
        <v>112</v>
      </c>
      <c r="K130" s="43"/>
      <c r="L130" s="99">
        <v>315</v>
      </c>
      <c r="M130" s="99">
        <v>2</v>
      </c>
      <c r="N130" s="43">
        <f t="shared" si="174"/>
        <v>6.3492063492063492E-3</v>
      </c>
      <c r="O130" s="44">
        <v>0.17</v>
      </c>
      <c r="P130" s="44">
        <f t="shared" si="175"/>
        <v>0.53968253968253976</v>
      </c>
      <c r="Q130" s="44">
        <f t="shared" si="176"/>
        <v>8.5000000000000006E-2</v>
      </c>
      <c r="R130" s="99">
        <v>0</v>
      </c>
      <c r="S130" s="99">
        <v>0</v>
      </c>
      <c r="T130" s="111"/>
      <c r="U130" s="59" t="s">
        <v>60</v>
      </c>
      <c r="V130" s="19"/>
      <c r="W130" s="19"/>
      <c r="X130" s="44"/>
      <c r="Y130" s="17"/>
      <c r="Z130" s="17"/>
    </row>
    <row r="131" spans="2:26" s="8" customFormat="1" ht="15">
      <c r="B131" s="56" t="s">
        <v>61</v>
      </c>
      <c r="C131" s="124">
        <v>19797</v>
      </c>
      <c r="D131" s="125">
        <v>13</v>
      </c>
      <c r="E131" s="75">
        <f t="shared" si="171"/>
        <v>6.5666515128554829E-4</v>
      </c>
      <c r="F131" s="126">
        <v>4.41</v>
      </c>
      <c r="G131" s="35">
        <f t="shared" si="172"/>
        <v>0.22276102439763601</v>
      </c>
      <c r="H131" s="35">
        <f t="shared" si="173"/>
        <v>0.33923076923076922</v>
      </c>
      <c r="I131" s="125">
        <v>1</v>
      </c>
      <c r="J131" s="79" t="s">
        <v>111</v>
      </c>
      <c r="K131" s="43"/>
      <c r="L131" s="42">
        <v>19709</v>
      </c>
      <c r="M131" s="12">
        <v>14</v>
      </c>
      <c r="N131" s="43">
        <f t="shared" si="174"/>
        <v>7.1033537977573699E-4</v>
      </c>
      <c r="O131" s="44">
        <v>4.3899999999999997</v>
      </c>
      <c r="P131" s="44">
        <f t="shared" si="175"/>
        <v>0.22274087980110607</v>
      </c>
      <c r="Q131" s="44">
        <f t="shared" si="176"/>
        <v>0.31357142857142856</v>
      </c>
      <c r="R131" s="12">
        <v>0</v>
      </c>
      <c r="S131" s="44">
        <v>0</v>
      </c>
      <c r="T131" s="111"/>
      <c r="U131" s="59" t="s">
        <v>61</v>
      </c>
      <c r="V131" s="19"/>
      <c r="W131" s="19"/>
      <c r="X131" s="44"/>
      <c r="Y131" s="17"/>
      <c r="Z131" s="17"/>
    </row>
    <row r="132" spans="2:26" s="8" customFormat="1" ht="15">
      <c r="B132" s="56" t="s">
        <v>32</v>
      </c>
      <c r="C132" s="124">
        <v>39470</v>
      </c>
      <c r="D132" s="125">
        <v>7</v>
      </c>
      <c r="E132" s="75">
        <f t="shared" si="171"/>
        <v>1.7734988598935901E-4</v>
      </c>
      <c r="F132" s="126">
        <v>12.82</v>
      </c>
      <c r="G132" s="35">
        <f t="shared" si="172"/>
        <v>0.32480364834051179</v>
      </c>
      <c r="H132" s="35">
        <f t="shared" si="173"/>
        <v>1.8314285714285714</v>
      </c>
      <c r="I132" s="125">
        <v>1</v>
      </c>
      <c r="J132" s="79" t="s">
        <v>32</v>
      </c>
      <c r="K132" s="43"/>
      <c r="L132" s="42">
        <v>41574</v>
      </c>
      <c r="M132" s="12">
        <v>11</v>
      </c>
      <c r="N132" s="43">
        <f t="shared" si="174"/>
        <v>2.6458844470101506E-4</v>
      </c>
      <c r="O132" s="44">
        <v>14.58</v>
      </c>
      <c r="P132" s="44">
        <f t="shared" si="175"/>
        <v>0.35069995670370901</v>
      </c>
      <c r="Q132" s="44">
        <f t="shared" si="176"/>
        <v>1.3254545454545454</v>
      </c>
      <c r="R132" s="12">
        <v>4</v>
      </c>
      <c r="S132" s="44">
        <v>200.43</v>
      </c>
      <c r="T132" s="111"/>
      <c r="U132" s="59" t="s">
        <v>32</v>
      </c>
      <c r="V132" s="19"/>
      <c r="W132" s="19"/>
      <c r="X132" s="44"/>
      <c r="Y132" s="17"/>
      <c r="Z132" s="17"/>
    </row>
    <row r="133" spans="2:26" s="8" customFormat="1" ht="15">
      <c r="B133" s="56" t="s">
        <v>77</v>
      </c>
      <c r="C133" s="124">
        <v>1333</v>
      </c>
      <c r="D133" s="125">
        <v>4</v>
      </c>
      <c r="E133" s="75">
        <f t="shared" si="171"/>
        <v>3.0007501875468868E-3</v>
      </c>
      <c r="F133" s="126">
        <v>1.51</v>
      </c>
      <c r="G133" s="35">
        <f t="shared" si="172"/>
        <v>1.1327831957989498</v>
      </c>
      <c r="H133" s="35">
        <f t="shared" si="173"/>
        <v>0.3775</v>
      </c>
      <c r="I133" s="125">
        <v>0</v>
      </c>
      <c r="J133" s="79" t="s">
        <v>77</v>
      </c>
      <c r="K133" s="43"/>
      <c r="L133" s="123"/>
      <c r="M133" s="123"/>
      <c r="N133" s="43"/>
      <c r="O133" s="123"/>
      <c r="P133" s="44"/>
      <c r="Q133" s="44"/>
      <c r="R133" s="123"/>
      <c r="S133" s="123"/>
      <c r="T133" s="111"/>
      <c r="U133" s="59" t="s">
        <v>77</v>
      </c>
      <c r="V133" s="105"/>
      <c r="W133" s="105"/>
      <c r="X133" s="105"/>
      <c r="Y133" s="105"/>
      <c r="Z133" s="105"/>
    </row>
    <row r="134" spans="2:26" s="8" customFormat="1" ht="15">
      <c r="B134" s="56" t="s">
        <v>62</v>
      </c>
      <c r="C134" s="124">
        <v>137275</v>
      </c>
      <c r="D134" s="125">
        <v>76</v>
      </c>
      <c r="E134" s="75">
        <f t="shared" si="171"/>
        <v>5.5363321799307963E-4</v>
      </c>
      <c r="F134" s="126">
        <v>50.17</v>
      </c>
      <c r="G134" s="35">
        <f t="shared" si="172"/>
        <v>0.36547077035148429</v>
      </c>
      <c r="H134" s="35">
        <f t="shared" si="173"/>
        <v>0.6601315789473684</v>
      </c>
      <c r="I134" s="125">
        <v>9</v>
      </c>
      <c r="J134" s="79" t="s">
        <v>62</v>
      </c>
      <c r="K134" s="43"/>
      <c r="L134" s="39">
        <v>137557</v>
      </c>
      <c r="M134" s="13">
        <v>83</v>
      </c>
      <c r="N134" s="43">
        <f t="shared" si="174"/>
        <v>6.0338623261629724E-4</v>
      </c>
      <c r="O134" s="41">
        <v>50.25</v>
      </c>
      <c r="P134" s="44">
        <f t="shared" si="175"/>
        <v>0.36530311071046911</v>
      </c>
      <c r="Q134" s="44">
        <f t="shared" si="176"/>
        <v>0.60542168674698793</v>
      </c>
      <c r="R134" s="13">
        <v>11</v>
      </c>
      <c r="S134" s="41">
        <v>855.84</v>
      </c>
      <c r="T134" s="111"/>
      <c r="U134" s="59" t="s">
        <v>62</v>
      </c>
      <c r="V134" s="19"/>
      <c r="W134" s="19"/>
      <c r="X134" s="44"/>
      <c r="Y134" s="17"/>
      <c r="Z134" s="17"/>
    </row>
    <row r="135" spans="2:26" s="8" customFormat="1" ht="15">
      <c r="B135" s="56" t="s">
        <v>63</v>
      </c>
      <c r="C135" s="124">
        <v>125196</v>
      </c>
      <c r="D135" s="125">
        <v>89</v>
      </c>
      <c r="E135" s="75">
        <f t="shared" si="171"/>
        <v>7.1088533179973804E-4</v>
      </c>
      <c r="F135" s="126">
        <v>101.36</v>
      </c>
      <c r="G135" s="35">
        <f t="shared" si="172"/>
        <v>0.80961053068788147</v>
      </c>
      <c r="H135" s="35">
        <f t="shared" si="173"/>
        <v>1.138876404494382</v>
      </c>
      <c r="I135" s="125">
        <v>10</v>
      </c>
      <c r="J135" s="79" t="s">
        <v>63</v>
      </c>
      <c r="K135" s="43"/>
      <c r="L135" s="42">
        <v>124762</v>
      </c>
      <c r="M135" s="12">
        <v>95</v>
      </c>
      <c r="N135" s="43">
        <f t="shared" si="174"/>
        <v>7.6144980041999968E-4</v>
      </c>
      <c r="O135" s="44">
        <v>100.98</v>
      </c>
      <c r="P135" s="44">
        <f t="shared" si="175"/>
        <v>0.80938106154117451</v>
      </c>
      <c r="Q135" s="44">
        <f t="shared" si="176"/>
        <v>1.0629473684210526</v>
      </c>
      <c r="R135" s="12">
        <v>63</v>
      </c>
      <c r="S135" s="44">
        <v>3866.32</v>
      </c>
      <c r="T135" s="111"/>
      <c r="U135" s="59" t="s">
        <v>63</v>
      </c>
      <c r="V135" s="19"/>
      <c r="W135" s="19"/>
      <c r="X135" s="44"/>
      <c r="Y135" s="17"/>
      <c r="Z135" s="17"/>
    </row>
    <row r="136" spans="2:26" s="8" customFormat="1" ht="15">
      <c r="B136" s="56" t="s">
        <v>64</v>
      </c>
      <c r="C136" s="124">
        <v>216023</v>
      </c>
      <c r="D136" s="125">
        <v>38</v>
      </c>
      <c r="E136" s="75">
        <f t="shared" si="171"/>
        <v>1.7590719506719191E-4</v>
      </c>
      <c r="F136" s="126">
        <v>52.91</v>
      </c>
      <c r="G136" s="35">
        <f t="shared" si="172"/>
        <v>0.24492762344750324</v>
      </c>
      <c r="H136" s="35">
        <f t="shared" si="173"/>
        <v>1.3923684210526315</v>
      </c>
      <c r="I136" s="125">
        <v>23</v>
      </c>
      <c r="J136" s="80" t="s">
        <v>64</v>
      </c>
      <c r="K136" s="43"/>
      <c r="L136" s="115">
        <v>219089</v>
      </c>
      <c r="M136" s="116">
        <v>53</v>
      </c>
      <c r="N136" s="43">
        <f t="shared" si="174"/>
        <v>2.4191082162956608E-4</v>
      </c>
      <c r="O136" s="118">
        <v>53.49</v>
      </c>
      <c r="P136" s="44">
        <f t="shared" si="175"/>
        <v>0.24414735564085829</v>
      </c>
      <c r="Q136" s="44">
        <f t="shared" si="176"/>
        <v>1.0092452830188681</v>
      </c>
      <c r="R136" s="116">
        <v>2</v>
      </c>
      <c r="S136" s="118">
        <v>100.79</v>
      </c>
      <c r="T136" s="111"/>
      <c r="U136" s="59" t="s">
        <v>64</v>
      </c>
      <c r="V136" s="19"/>
      <c r="W136" s="19"/>
      <c r="X136" s="44"/>
      <c r="Y136" s="17"/>
      <c r="Z136" s="17"/>
    </row>
    <row r="137" spans="2:26" s="8" customFormat="1" ht="15">
      <c r="B137" s="56" t="s">
        <v>65</v>
      </c>
      <c r="C137" s="46">
        <v>10270</v>
      </c>
      <c r="D137" s="47">
        <v>6</v>
      </c>
      <c r="E137" s="75">
        <f t="shared" si="171"/>
        <v>5.8422590068159686E-4</v>
      </c>
      <c r="F137" s="35">
        <v>6.82</v>
      </c>
      <c r="G137" s="35">
        <f t="shared" si="172"/>
        <v>0.6640701071080819</v>
      </c>
      <c r="H137" s="35">
        <f t="shared" si="173"/>
        <v>1.1366666666666667</v>
      </c>
      <c r="I137" s="47">
        <v>1</v>
      </c>
      <c r="J137" s="80" t="s">
        <v>65</v>
      </c>
      <c r="K137" s="43"/>
      <c r="L137" s="119">
        <v>10328</v>
      </c>
      <c r="M137" s="120">
        <v>7</v>
      </c>
      <c r="N137" s="43">
        <f t="shared" si="174"/>
        <v>6.7776917118512775E-4</v>
      </c>
      <c r="O137" s="122">
        <v>6.85</v>
      </c>
      <c r="P137" s="44">
        <f t="shared" si="175"/>
        <v>0.66324554608830366</v>
      </c>
      <c r="Q137" s="44">
        <f t="shared" si="176"/>
        <v>0.97857142857142854</v>
      </c>
      <c r="R137" s="120">
        <v>28</v>
      </c>
      <c r="S137" s="122">
        <v>615.41</v>
      </c>
      <c r="T137" s="111"/>
      <c r="U137" s="59" t="s">
        <v>65</v>
      </c>
      <c r="V137" s="19"/>
      <c r="W137" s="19"/>
      <c r="X137" s="44"/>
      <c r="Y137" s="17"/>
      <c r="Z137" s="17"/>
    </row>
    <row r="138" spans="2:26" s="8" customFormat="1" ht="15">
      <c r="B138" s="59" t="s">
        <v>117</v>
      </c>
      <c r="C138" s="127">
        <v>237105</v>
      </c>
      <c r="D138" s="128">
        <v>133</v>
      </c>
      <c r="E138" s="75">
        <f t="shared" si="171"/>
        <v>5.6093292001433966E-4</v>
      </c>
      <c r="F138" s="128">
        <v>40.520000000000003</v>
      </c>
      <c r="G138" s="35">
        <f t="shared" si="172"/>
        <v>0.17089475127053416</v>
      </c>
      <c r="H138" s="35">
        <f t="shared" si="173"/>
        <v>0.30466165413533836</v>
      </c>
      <c r="I138" s="129"/>
      <c r="J138" s="56" t="s">
        <v>73</v>
      </c>
      <c r="K138" s="43"/>
      <c r="L138" s="115">
        <v>230237</v>
      </c>
      <c r="M138" s="116">
        <v>104</v>
      </c>
      <c r="N138" s="43">
        <f t="shared" si="174"/>
        <v>4.5170845693785099E-4</v>
      </c>
      <c r="O138" s="118">
        <v>39.21</v>
      </c>
      <c r="P138" s="44">
        <f t="shared" si="175"/>
        <v>0.17030277496666479</v>
      </c>
      <c r="Q138" s="44">
        <f t="shared" si="176"/>
        <v>0.37701923076923077</v>
      </c>
      <c r="R138" s="116">
        <v>2</v>
      </c>
      <c r="S138" s="118">
        <v>24.98</v>
      </c>
      <c r="T138" s="111"/>
      <c r="U138" s="59" t="s">
        <v>73</v>
      </c>
      <c r="V138" s="19"/>
      <c r="W138" s="19"/>
      <c r="X138" s="44"/>
      <c r="Y138" s="17"/>
      <c r="Z138" s="17"/>
    </row>
    <row r="139" spans="2:26" s="8" customFormat="1" ht="15">
      <c r="B139" s="59" t="s">
        <v>116</v>
      </c>
      <c r="C139" s="130">
        <v>108563</v>
      </c>
      <c r="D139" s="131">
        <v>76</v>
      </c>
      <c r="E139" s="75">
        <f t="shared" si="171"/>
        <v>7.0005434632425408E-4</v>
      </c>
      <c r="F139" s="131">
        <v>18.420000000000002</v>
      </c>
      <c r="G139" s="35">
        <f t="shared" si="172"/>
        <v>0.16967106656964159</v>
      </c>
      <c r="H139" s="35">
        <f t="shared" si="173"/>
        <v>0.24236842105263159</v>
      </c>
      <c r="I139" s="132"/>
      <c r="J139" s="59" t="s">
        <v>74</v>
      </c>
      <c r="K139" s="43"/>
      <c r="L139" s="42">
        <v>735468</v>
      </c>
      <c r="M139" s="12">
        <v>332</v>
      </c>
      <c r="N139" s="43">
        <f t="shared" si="174"/>
        <v>4.5141324979468858E-4</v>
      </c>
      <c r="O139" s="44">
        <v>139.57</v>
      </c>
      <c r="P139" s="44">
        <f t="shared" si="175"/>
        <v>0.18977032311398997</v>
      </c>
      <c r="Q139" s="44">
        <f t="shared" si="176"/>
        <v>0.42039156626506025</v>
      </c>
      <c r="R139" s="12">
        <v>2</v>
      </c>
      <c r="S139" s="44">
        <v>92.4</v>
      </c>
      <c r="T139" s="111"/>
      <c r="U139" s="59" t="s">
        <v>74</v>
      </c>
      <c r="V139" s="19"/>
      <c r="W139" s="19"/>
      <c r="X139" s="44"/>
      <c r="Y139" s="17"/>
      <c r="Z139" s="17"/>
    </row>
    <row r="140" spans="2:26" s="8" customFormat="1" ht="15">
      <c r="B140" s="59" t="s">
        <v>101</v>
      </c>
      <c r="C140" s="133">
        <v>631127</v>
      </c>
      <c r="D140" s="134">
        <v>249</v>
      </c>
      <c r="E140" s="75">
        <f t="shared" si="171"/>
        <v>3.945323207531923E-4</v>
      </c>
      <c r="F140" s="134">
        <v>122.78</v>
      </c>
      <c r="G140" s="35">
        <f t="shared" si="172"/>
        <v>0.19454087687581104</v>
      </c>
      <c r="H140" s="35">
        <f t="shared" si="173"/>
        <v>0.49309236947791163</v>
      </c>
      <c r="I140" s="132"/>
      <c r="J140" s="59" t="s">
        <v>101</v>
      </c>
      <c r="K140" s="105"/>
      <c r="L140" s="105"/>
      <c r="M140" s="105"/>
      <c r="N140" s="43"/>
      <c r="O140" s="105"/>
      <c r="P140" s="44"/>
      <c r="Q140" s="44"/>
      <c r="R140" s="105"/>
      <c r="S140" s="105"/>
      <c r="T140" s="105"/>
      <c r="U140" s="59" t="s">
        <v>101</v>
      </c>
      <c r="V140" s="105"/>
      <c r="W140" s="105"/>
      <c r="X140" s="105"/>
      <c r="Y140" s="105"/>
      <c r="Z140" s="105"/>
    </row>
    <row r="141" spans="2:26" s="8" customFormat="1" ht="15">
      <c r="B141" s="114"/>
      <c r="C141" s="46">
        <f>SUM(C127:C140)</f>
        <v>1600921</v>
      </c>
      <c r="D141" s="46">
        <f>SUM(D127:D140)</f>
        <v>721</v>
      </c>
      <c r="E141" s="75"/>
      <c r="F141" s="50">
        <f>SUM(F127:F140)</f>
        <v>436.56000000000006</v>
      </c>
      <c r="G141" s="31"/>
      <c r="H141" s="31"/>
      <c r="I141" s="47"/>
      <c r="J141" s="80"/>
      <c r="K141" s="53"/>
      <c r="L141" s="46"/>
      <c r="M141" s="46"/>
      <c r="N141" s="75"/>
      <c r="O141" s="50"/>
      <c r="P141" s="44"/>
      <c r="Q141" s="44"/>
      <c r="R141" s="12"/>
      <c r="S141" s="44"/>
      <c r="T141" s="12"/>
      <c r="U141" s="79"/>
      <c r="V141" s="19"/>
      <c r="W141" s="19"/>
      <c r="X141" s="44"/>
      <c r="Y141" s="17"/>
      <c r="Z141" s="17"/>
    </row>
    <row r="142" spans="2:26" s="8" customFormat="1" ht="15">
      <c r="B142" s="71">
        <v>41215</v>
      </c>
      <c r="C142" s="141"/>
      <c r="D142" s="142"/>
      <c r="E142" s="142"/>
      <c r="F142" s="142"/>
      <c r="G142" s="142"/>
      <c r="H142" s="142"/>
      <c r="I142" s="143"/>
      <c r="J142" s="71">
        <v>41215</v>
      </c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71">
        <v>41215</v>
      </c>
      <c r="V142" s="105"/>
      <c r="W142" s="105"/>
      <c r="X142" s="105"/>
      <c r="Y142" s="105"/>
      <c r="Z142" s="105"/>
    </row>
    <row r="143" spans="2:26" s="8" customFormat="1" ht="15">
      <c r="B143" s="56" t="s">
        <v>30</v>
      </c>
      <c r="C143" s="48">
        <v>25200</v>
      </c>
      <c r="D143" s="49">
        <v>18</v>
      </c>
      <c r="E143" s="75">
        <v>6.9999999999999999E-4</v>
      </c>
      <c r="F143" s="50">
        <v>8.59</v>
      </c>
      <c r="G143" s="50">
        <v>0.34</v>
      </c>
      <c r="H143" s="50">
        <v>0.48</v>
      </c>
      <c r="I143" s="49">
        <v>0</v>
      </c>
      <c r="J143" s="79" t="s">
        <v>30</v>
      </c>
      <c r="K143" s="135">
        <v>1.06E-2</v>
      </c>
      <c r="L143" s="42">
        <v>27706</v>
      </c>
      <c r="M143" s="12">
        <v>19</v>
      </c>
      <c r="N143" s="43"/>
      <c r="O143" s="44">
        <v>11.45</v>
      </c>
      <c r="P143" s="44"/>
      <c r="Q143" s="44"/>
      <c r="R143" s="12">
        <v>0</v>
      </c>
      <c r="S143" s="44">
        <v>0</v>
      </c>
      <c r="T143" s="111"/>
      <c r="U143" s="59" t="s">
        <v>30</v>
      </c>
      <c r="V143" s="19"/>
      <c r="W143" s="19"/>
      <c r="X143" s="44"/>
      <c r="Y143" s="17"/>
      <c r="Z143" s="17"/>
    </row>
    <row r="144" spans="2:26" s="8" customFormat="1" ht="15">
      <c r="B144" s="56" t="s">
        <v>76</v>
      </c>
      <c r="C144" s="48">
        <v>2433</v>
      </c>
      <c r="D144" s="49">
        <v>4</v>
      </c>
      <c r="E144" s="75">
        <v>1.6000000000000001E-3</v>
      </c>
      <c r="F144" s="50">
        <v>2.84</v>
      </c>
      <c r="G144" s="50">
        <v>1.17</v>
      </c>
      <c r="H144" s="50">
        <v>0.71</v>
      </c>
      <c r="I144" s="49">
        <v>1</v>
      </c>
      <c r="J144" s="79" t="s">
        <v>76</v>
      </c>
      <c r="K144" s="43"/>
      <c r="L144" s="99"/>
      <c r="M144" s="99"/>
      <c r="N144" s="99"/>
      <c r="O144" s="99"/>
      <c r="P144" s="99"/>
      <c r="Q144" s="99"/>
      <c r="R144" s="99"/>
      <c r="S144" s="99"/>
      <c r="T144" s="111"/>
      <c r="U144" s="59" t="s">
        <v>76</v>
      </c>
      <c r="V144" s="105"/>
      <c r="W144" s="105"/>
      <c r="X144" s="105"/>
      <c r="Y144" s="105"/>
      <c r="Z144" s="105"/>
    </row>
    <row r="145" spans="2:26" s="8" customFormat="1" ht="15">
      <c r="B145" s="56" t="s">
        <v>59</v>
      </c>
      <c r="C145" s="48">
        <v>4571</v>
      </c>
      <c r="D145" s="49">
        <v>1</v>
      </c>
      <c r="E145" s="75">
        <v>2.0000000000000001E-4</v>
      </c>
      <c r="F145" s="50">
        <v>1.02</v>
      </c>
      <c r="G145" s="50">
        <v>0.22</v>
      </c>
      <c r="H145" s="50">
        <v>1.02</v>
      </c>
      <c r="I145" s="49">
        <v>0</v>
      </c>
      <c r="J145" s="79" t="s">
        <v>59</v>
      </c>
      <c r="K145" s="43"/>
      <c r="L145" s="42">
        <v>4573</v>
      </c>
      <c r="M145" s="12">
        <v>2</v>
      </c>
      <c r="N145" s="43"/>
      <c r="O145" s="44">
        <v>1.02</v>
      </c>
      <c r="P145" s="44"/>
      <c r="Q145" s="44"/>
      <c r="R145" s="12">
        <v>0</v>
      </c>
      <c r="S145" s="44">
        <v>0</v>
      </c>
      <c r="T145" s="111"/>
      <c r="U145" s="59" t="s">
        <v>59</v>
      </c>
      <c r="V145" s="19"/>
      <c r="W145" s="19"/>
      <c r="X145" s="44"/>
      <c r="Y145" s="17"/>
      <c r="Z145" s="17"/>
    </row>
    <row r="146" spans="2:26" s="8" customFormat="1" ht="15">
      <c r="B146" s="56" t="s">
        <v>60</v>
      </c>
      <c r="C146" s="49">
        <v>215</v>
      </c>
      <c r="D146" s="49">
        <v>0</v>
      </c>
      <c r="E146" s="75">
        <v>0</v>
      </c>
      <c r="F146" s="50">
        <v>0.13</v>
      </c>
      <c r="G146" s="50">
        <v>0.61</v>
      </c>
      <c r="H146" s="50">
        <v>0</v>
      </c>
      <c r="I146" s="49">
        <v>0</v>
      </c>
      <c r="J146" s="79" t="s">
        <v>60</v>
      </c>
      <c r="K146" s="43"/>
      <c r="L146" s="99">
        <v>212</v>
      </c>
      <c r="M146" s="99"/>
      <c r="N146" s="43"/>
      <c r="O146" s="44">
        <v>0.13</v>
      </c>
      <c r="P146" s="44"/>
      <c r="Q146" s="44"/>
      <c r="R146" s="12">
        <v>0</v>
      </c>
      <c r="S146" s="44">
        <v>0</v>
      </c>
      <c r="T146" s="111"/>
      <c r="U146" s="59" t="s">
        <v>60</v>
      </c>
      <c r="V146" s="19"/>
      <c r="W146" s="19"/>
      <c r="X146" s="44"/>
      <c r="Y146" s="17"/>
      <c r="Z146" s="17"/>
    </row>
    <row r="147" spans="2:26" s="8" customFormat="1" ht="15">
      <c r="B147" s="56" t="s">
        <v>61</v>
      </c>
      <c r="C147" s="48">
        <v>17334</v>
      </c>
      <c r="D147" s="49">
        <v>14</v>
      </c>
      <c r="E147" s="75">
        <v>8.0000000000000004E-4</v>
      </c>
      <c r="F147" s="50">
        <v>3.78</v>
      </c>
      <c r="G147" s="50">
        <v>0.22</v>
      </c>
      <c r="H147" s="50">
        <v>0.27</v>
      </c>
      <c r="I147" s="49">
        <v>0</v>
      </c>
      <c r="J147" s="79" t="s">
        <v>61</v>
      </c>
      <c r="K147" s="43"/>
      <c r="L147" s="42">
        <v>17245</v>
      </c>
      <c r="M147" s="12">
        <v>15</v>
      </c>
      <c r="N147" s="43"/>
      <c r="O147" s="44">
        <v>3.76</v>
      </c>
      <c r="P147" s="44"/>
      <c r="Q147" s="44"/>
      <c r="R147" s="12">
        <v>0</v>
      </c>
      <c r="S147" s="44">
        <v>0</v>
      </c>
      <c r="T147" s="111"/>
      <c r="U147" s="59" t="s">
        <v>61</v>
      </c>
      <c r="V147" s="19"/>
      <c r="W147" s="19"/>
      <c r="X147" s="44"/>
      <c r="Y147" s="17"/>
      <c r="Z147" s="17"/>
    </row>
    <row r="148" spans="2:26" s="8" customFormat="1" ht="15">
      <c r="B148" s="56" t="s">
        <v>32</v>
      </c>
      <c r="C148" s="48">
        <v>92431</v>
      </c>
      <c r="D148" s="49">
        <v>20</v>
      </c>
      <c r="E148" s="75">
        <v>2.0000000000000001E-4</v>
      </c>
      <c r="F148" s="50">
        <v>31.01</v>
      </c>
      <c r="G148" s="50">
        <v>0.34</v>
      </c>
      <c r="H148" s="50">
        <v>1.55</v>
      </c>
      <c r="I148" s="49">
        <v>2</v>
      </c>
      <c r="J148" s="79" t="s">
        <v>32</v>
      </c>
      <c r="K148" s="43">
        <v>5.5999999999999999E-3</v>
      </c>
      <c r="L148" s="42">
        <v>95344</v>
      </c>
      <c r="M148" s="12">
        <v>21</v>
      </c>
      <c r="N148" s="43"/>
      <c r="O148" s="44">
        <v>33.5</v>
      </c>
      <c r="P148" s="44"/>
      <c r="Q148" s="44"/>
      <c r="R148" s="12">
        <v>2</v>
      </c>
      <c r="S148" s="136">
        <v>27.74</v>
      </c>
      <c r="T148" s="111"/>
      <c r="U148" s="59" t="s">
        <v>32</v>
      </c>
      <c r="V148" s="19"/>
      <c r="W148" s="19"/>
      <c r="X148" s="44"/>
      <c r="Y148" s="17"/>
      <c r="Z148" s="17"/>
    </row>
    <row r="149" spans="2:26" s="8" customFormat="1" ht="15">
      <c r="B149" s="56" t="s">
        <v>77</v>
      </c>
      <c r="C149" s="48">
        <v>1888</v>
      </c>
      <c r="D149" s="49">
        <v>0</v>
      </c>
      <c r="E149" s="75">
        <v>0</v>
      </c>
      <c r="F149" s="50">
        <v>2.2000000000000002</v>
      </c>
      <c r="G149" s="50">
        <v>1.1599999999999999</v>
      </c>
      <c r="H149" s="50">
        <v>0</v>
      </c>
      <c r="I149" s="49">
        <v>0</v>
      </c>
      <c r="J149" s="79" t="s">
        <v>77</v>
      </c>
      <c r="K149" s="43"/>
      <c r="L149" s="123"/>
      <c r="M149" s="123"/>
      <c r="N149" s="123"/>
      <c r="O149" s="123"/>
      <c r="P149" s="123"/>
      <c r="Q149" s="123"/>
      <c r="R149" s="123"/>
      <c r="S149" s="123"/>
      <c r="T149" s="111"/>
      <c r="U149" s="59" t="s">
        <v>77</v>
      </c>
      <c r="V149" s="105"/>
      <c r="W149" s="105"/>
      <c r="X149" s="105"/>
      <c r="Y149" s="105"/>
      <c r="Z149" s="105"/>
    </row>
    <row r="150" spans="2:26" s="8" customFormat="1" ht="15">
      <c r="B150" s="56" t="s">
        <v>62</v>
      </c>
      <c r="C150" s="48">
        <v>95266</v>
      </c>
      <c r="D150" s="49">
        <v>63</v>
      </c>
      <c r="E150" s="75">
        <v>6.9999999999999999E-4</v>
      </c>
      <c r="F150" s="50">
        <v>35.39</v>
      </c>
      <c r="G150" s="50">
        <v>0.37</v>
      </c>
      <c r="H150" s="50">
        <v>0.56000000000000005</v>
      </c>
      <c r="I150" s="49">
        <v>6</v>
      </c>
      <c r="J150" s="79" t="s">
        <v>62</v>
      </c>
      <c r="K150" s="43"/>
      <c r="L150" s="39">
        <v>132907</v>
      </c>
      <c r="M150" s="13">
        <v>101</v>
      </c>
      <c r="N150" s="43">
        <f t="shared" ref="N150:N151" si="177">M150/L150</f>
        <v>7.5992987577779946E-4</v>
      </c>
      <c r="O150" s="41">
        <v>49.94</v>
      </c>
      <c r="P150" s="44">
        <f t="shared" ref="P150:P151" si="178">O150/L150*1000</f>
        <v>0.37575146531032977</v>
      </c>
      <c r="Q150" s="44">
        <f t="shared" ref="Q150:Q151" si="179">O150/M150</f>
        <v>0.49445544554455445</v>
      </c>
      <c r="R150" s="13">
        <v>9</v>
      </c>
      <c r="S150" s="41">
        <v>401.39</v>
      </c>
      <c r="T150" s="111"/>
      <c r="U150" s="59" t="s">
        <v>62</v>
      </c>
      <c r="V150" s="19"/>
      <c r="W150" s="19"/>
      <c r="X150" s="44"/>
      <c r="Y150" s="17"/>
      <c r="Z150" s="17"/>
    </row>
    <row r="151" spans="2:26" s="8" customFormat="1" ht="15">
      <c r="B151" s="56" t="s">
        <v>63</v>
      </c>
      <c r="C151" s="48">
        <v>41132</v>
      </c>
      <c r="D151" s="49">
        <v>33</v>
      </c>
      <c r="E151" s="75">
        <v>8.0000000000000004E-4</v>
      </c>
      <c r="F151" s="50">
        <v>31.47</v>
      </c>
      <c r="G151" s="50">
        <v>0.77</v>
      </c>
      <c r="H151" s="50">
        <v>0.95</v>
      </c>
      <c r="I151" s="49">
        <v>3</v>
      </c>
      <c r="J151" s="79" t="s">
        <v>63</v>
      </c>
      <c r="K151" s="43"/>
      <c r="L151" s="42">
        <v>121715</v>
      </c>
      <c r="M151" s="12">
        <v>93</v>
      </c>
      <c r="N151" s="43">
        <f t="shared" si="177"/>
        <v>7.6408002300455983E-4</v>
      </c>
      <c r="O151" s="44">
        <v>99.68</v>
      </c>
      <c r="P151" s="44">
        <f t="shared" si="178"/>
        <v>0.81896233003327445</v>
      </c>
      <c r="Q151" s="44">
        <f t="shared" si="179"/>
        <v>1.0718279569892475</v>
      </c>
      <c r="R151" s="12">
        <v>56</v>
      </c>
      <c r="S151" s="44">
        <v>4751.13</v>
      </c>
      <c r="T151" s="111"/>
      <c r="U151" s="59" t="s">
        <v>63</v>
      </c>
      <c r="V151" s="19"/>
      <c r="W151" s="19"/>
      <c r="X151" s="44"/>
      <c r="Y151" s="17"/>
      <c r="Z151" s="17"/>
    </row>
    <row r="152" spans="2:26" s="8" customFormat="1" ht="15">
      <c r="B152" s="56" t="s">
        <v>64</v>
      </c>
      <c r="C152" s="46">
        <v>347847</v>
      </c>
      <c r="D152" s="47">
        <v>83</v>
      </c>
      <c r="E152" s="34">
        <v>2.0000000000000001E-4</v>
      </c>
      <c r="F152" s="35">
        <v>102.97</v>
      </c>
      <c r="G152" s="35">
        <v>0.3</v>
      </c>
      <c r="H152" s="35">
        <v>1.24</v>
      </c>
      <c r="I152" s="47">
        <v>23</v>
      </c>
      <c r="J152" s="80" t="s">
        <v>64</v>
      </c>
      <c r="K152" s="43"/>
      <c r="L152" s="115"/>
      <c r="M152" s="116"/>
      <c r="N152" s="117"/>
      <c r="O152" s="118"/>
      <c r="P152" s="118"/>
      <c r="Q152" s="118"/>
      <c r="R152" s="116"/>
      <c r="S152" s="118"/>
      <c r="T152" s="111"/>
      <c r="U152" s="59" t="s">
        <v>64</v>
      </c>
      <c r="V152" s="19"/>
      <c r="W152" s="19"/>
      <c r="X152" s="44"/>
      <c r="Y152" s="17"/>
      <c r="Z152" s="17"/>
    </row>
    <row r="153" spans="2:26" s="8" customFormat="1" ht="15">
      <c r="B153" s="56" t="s">
        <v>65</v>
      </c>
      <c r="C153" s="48">
        <v>32866</v>
      </c>
      <c r="D153" s="49">
        <v>17</v>
      </c>
      <c r="E153" s="75">
        <v>5.0000000000000001E-4</v>
      </c>
      <c r="F153" s="50">
        <v>26.4</v>
      </c>
      <c r="G153" s="50">
        <v>0.8</v>
      </c>
      <c r="H153" s="50">
        <v>1.55</v>
      </c>
      <c r="I153" s="49">
        <v>0</v>
      </c>
      <c r="J153" s="80" t="s">
        <v>65</v>
      </c>
      <c r="K153" s="43"/>
      <c r="L153" s="119"/>
      <c r="M153" s="120"/>
      <c r="N153" s="121"/>
      <c r="O153" s="122"/>
      <c r="P153" s="122"/>
      <c r="Q153" s="122"/>
      <c r="R153" s="120"/>
      <c r="S153" s="122"/>
      <c r="T153" s="111"/>
      <c r="U153" s="59" t="s">
        <v>65</v>
      </c>
      <c r="V153" s="19"/>
      <c r="W153" s="19"/>
      <c r="X153" s="44"/>
      <c r="Y153" s="17"/>
      <c r="Z153" s="17"/>
    </row>
    <row r="154" spans="2:26" s="8" customFormat="1" ht="15">
      <c r="B154" s="59" t="s">
        <v>117</v>
      </c>
      <c r="C154" s="127">
        <v>230163</v>
      </c>
      <c r="D154" s="128">
        <v>130</v>
      </c>
      <c r="E154" s="75">
        <f t="shared" ref="E154:E156" si="180">D154/C154</f>
        <v>5.648171078757229E-4</v>
      </c>
      <c r="F154" s="128">
        <v>39.85</v>
      </c>
      <c r="G154" s="35">
        <f t="shared" ref="G154:G156" si="181">F154/C154*1000</f>
        <v>0.17313816729882736</v>
      </c>
      <c r="H154" s="35">
        <f t="shared" ref="H154:H156" si="182">F154/D154</f>
        <v>0.30653846153846154</v>
      </c>
      <c r="I154" s="129"/>
      <c r="J154" s="56" t="s">
        <v>73</v>
      </c>
      <c r="K154" s="43"/>
      <c r="L154" s="115"/>
      <c r="M154" s="116"/>
      <c r="N154" s="117"/>
      <c r="O154" s="118"/>
      <c r="P154" s="118"/>
      <c r="Q154" s="118"/>
      <c r="R154" s="116"/>
      <c r="S154" s="118"/>
      <c r="T154" s="111"/>
      <c r="U154" s="59" t="s">
        <v>73</v>
      </c>
      <c r="V154" s="19"/>
      <c r="W154" s="19"/>
      <c r="X154" s="44"/>
      <c r="Y154" s="17"/>
      <c r="Z154" s="17"/>
    </row>
    <row r="155" spans="2:26" s="8" customFormat="1" ht="15">
      <c r="B155" s="59" t="s">
        <v>116</v>
      </c>
      <c r="C155" s="130">
        <v>137490</v>
      </c>
      <c r="D155" s="131">
        <v>76</v>
      </c>
      <c r="E155" s="75">
        <f t="shared" si="180"/>
        <v>5.5276747399810901E-4</v>
      </c>
      <c r="F155" s="131">
        <v>24.84</v>
      </c>
      <c r="G155" s="35">
        <f t="shared" si="181"/>
        <v>0.18066768492253982</v>
      </c>
      <c r="H155" s="35">
        <f t="shared" si="182"/>
        <v>0.32684210526315788</v>
      </c>
      <c r="I155" s="132"/>
      <c r="J155" s="59" t="s">
        <v>74</v>
      </c>
      <c r="K155" s="43">
        <v>9.2999999999999999E-2</v>
      </c>
      <c r="L155" s="42">
        <v>630523</v>
      </c>
      <c r="M155" s="12">
        <v>356</v>
      </c>
      <c r="N155" s="43">
        <f t="shared" ref="N155" si="183">M155/L155</f>
        <v>5.646106486202724E-4</v>
      </c>
      <c r="O155" s="44">
        <v>118.64</v>
      </c>
      <c r="P155" s="44">
        <f t="shared" ref="P155" si="184">O155/L155*1000</f>
        <v>0.18816125660760988</v>
      </c>
      <c r="Q155" s="44">
        <f t="shared" ref="Q155" si="185">O155/M155</f>
        <v>0.33325842696629215</v>
      </c>
      <c r="R155" s="12">
        <v>1</v>
      </c>
      <c r="S155" s="44">
        <v>45.9</v>
      </c>
      <c r="T155" s="111"/>
      <c r="U155" s="59" t="s">
        <v>74</v>
      </c>
      <c r="V155" s="19"/>
      <c r="W155" s="19"/>
      <c r="X155" s="44"/>
      <c r="Y155" s="17"/>
      <c r="Z155" s="17"/>
    </row>
    <row r="156" spans="2:26" s="8" customFormat="1" ht="15">
      <c r="B156" s="59" t="s">
        <v>101</v>
      </c>
      <c r="C156" s="133">
        <v>497226</v>
      </c>
      <c r="D156" s="134">
        <v>269</v>
      </c>
      <c r="E156" s="75">
        <f t="shared" si="180"/>
        <v>5.4100147618990158E-4</v>
      </c>
      <c r="F156" s="134">
        <v>94.76</v>
      </c>
      <c r="G156" s="35">
        <f t="shared" si="181"/>
        <v>0.19057732298793709</v>
      </c>
      <c r="H156" s="35">
        <f t="shared" si="182"/>
        <v>0.3522676579925651</v>
      </c>
      <c r="I156" s="132"/>
      <c r="J156" s="59" t="s">
        <v>101</v>
      </c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59" t="s">
        <v>101</v>
      </c>
      <c r="V156" s="105"/>
      <c r="W156" s="105"/>
      <c r="X156" s="105"/>
      <c r="Y156" s="105"/>
      <c r="Z156" s="105"/>
    </row>
    <row r="157" spans="2:26" s="8" customFormat="1" ht="15">
      <c r="B157" s="114"/>
      <c r="C157" s="46">
        <f>SUM(C143:C156)</f>
        <v>1526062</v>
      </c>
      <c r="D157" s="46">
        <f>SUM(D143:D156)</f>
        <v>728</v>
      </c>
      <c r="E157" s="75"/>
      <c r="F157" s="46">
        <f>SUM(F143:F156)</f>
        <v>405.25</v>
      </c>
      <c r="G157" s="31"/>
      <c r="H157" s="31"/>
      <c r="I157" s="47"/>
      <c r="J157" s="80"/>
      <c r="K157" s="46"/>
      <c r="L157" s="46">
        <f>SUM(L143:L156)</f>
        <v>1030225</v>
      </c>
      <c r="M157" s="46">
        <f>SUM(M143:M156)</f>
        <v>607</v>
      </c>
      <c r="N157" s="75"/>
      <c r="O157" s="50"/>
      <c r="P157" s="44"/>
      <c r="Q157" s="44"/>
      <c r="R157" s="12"/>
      <c r="S157" s="44"/>
      <c r="T157" s="12"/>
      <c r="U157" s="79"/>
      <c r="V157" s="19"/>
      <c r="W157" s="19"/>
      <c r="X157" s="44"/>
      <c r="Y157" s="17"/>
      <c r="Z157" s="17"/>
    </row>
    <row r="158" spans="2:26" s="8" customFormat="1" ht="15">
      <c r="B158" s="71">
        <v>41216</v>
      </c>
      <c r="C158" s="141"/>
      <c r="D158" s="142"/>
      <c r="E158" s="142"/>
      <c r="F158" s="142"/>
      <c r="G158" s="142"/>
      <c r="H158" s="142"/>
      <c r="I158" s="143"/>
      <c r="J158" s="71">
        <v>41216</v>
      </c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71">
        <v>41216</v>
      </c>
      <c r="V158" s="105"/>
      <c r="W158" s="105"/>
      <c r="X158" s="105"/>
      <c r="Y158" s="105"/>
      <c r="Z158" s="105"/>
    </row>
    <row r="159" spans="2:26" s="8" customFormat="1" ht="15">
      <c r="B159" s="56" t="s">
        <v>30</v>
      </c>
      <c r="C159" s="48">
        <v>87022</v>
      </c>
      <c r="D159" s="49">
        <v>57</v>
      </c>
      <c r="E159" s="75">
        <v>6.9999999999999999E-4</v>
      </c>
      <c r="F159" s="50">
        <v>30</v>
      </c>
      <c r="G159" s="50">
        <v>0.34</v>
      </c>
      <c r="H159" s="50">
        <v>0.53</v>
      </c>
      <c r="I159" s="49">
        <v>2</v>
      </c>
      <c r="J159" s="79" t="s">
        <v>30</v>
      </c>
      <c r="K159" s="43">
        <v>4.0000000000000001E-3</v>
      </c>
      <c r="L159" s="42">
        <v>92645</v>
      </c>
      <c r="M159" s="12">
        <v>63</v>
      </c>
      <c r="N159" s="43"/>
      <c r="O159" s="44">
        <v>33.75</v>
      </c>
      <c r="P159" s="44"/>
      <c r="Q159" s="44"/>
      <c r="R159" s="12">
        <v>0</v>
      </c>
      <c r="S159" s="44">
        <v>0</v>
      </c>
      <c r="T159" s="111"/>
      <c r="U159" s="59" t="s">
        <v>30</v>
      </c>
      <c r="V159" s="19"/>
      <c r="W159" s="19"/>
      <c r="X159" s="44"/>
      <c r="Y159" s="17"/>
      <c r="Z159" s="17"/>
    </row>
    <row r="160" spans="2:26" s="8" customFormat="1" ht="15">
      <c r="B160" s="56" t="s">
        <v>76</v>
      </c>
      <c r="C160" s="48">
        <v>2169</v>
      </c>
      <c r="D160" s="49">
        <v>4</v>
      </c>
      <c r="E160" s="75">
        <v>1.8E-3</v>
      </c>
      <c r="F160" s="50">
        <v>2.54</v>
      </c>
      <c r="G160" s="50">
        <v>1.17</v>
      </c>
      <c r="H160" s="50">
        <v>0.64</v>
      </c>
      <c r="I160" s="49">
        <v>0</v>
      </c>
      <c r="J160" s="79" t="s">
        <v>76</v>
      </c>
      <c r="K160" s="43"/>
      <c r="L160" s="99"/>
      <c r="M160" s="99"/>
      <c r="N160" s="99"/>
      <c r="O160" s="99"/>
      <c r="P160" s="99"/>
      <c r="Q160" s="99"/>
      <c r="R160" s="99"/>
      <c r="S160" s="99"/>
      <c r="T160" s="111"/>
      <c r="U160" s="59" t="s">
        <v>76</v>
      </c>
      <c r="V160" s="105"/>
      <c r="W160" s="105"/>
      <c r="X160" s="105"/>
      <c r="Y160" s="105"/>
      <c r="Z160" s="105"/>
    </row>
    <row r="161" spans="2:26" s="8" customFormat="1" ht="15">
      <c r="B161" s="56" t="s">
        <v>59</v>
      </c>
      <c r="C161" s="48">
        <v>4969</v>
      </c>
      <c r="D161" s="49">
        <v>3</v>
      </c>
      <c r="E161" s="75">
        <v>5.9999999999999995E-4</v>
      </c>
      <c r="F161" s="50">
        <v>1.17</v>
      </c>
      <c r="G161" s="50">
        <v>0.23</v>
      </c>
      <c r="H161" s="50">
        <v>0.39</v>
      </c>
      <c r="I161" s="49">
        <v>0</v>
      </c>
      <c r="J161" s="79" t="s">
        <v>59</v>
      </c>
      <c r="K161" s="43"/>
      <c r="L161" s="42">
        <v>4931</v>
      </c>
      <c r="M161" s="12">
        <v>4</v>
      </c>
      <c r="N161" s="43"/>
      <c r="O161" s="44">
        <v>1.1599999999999999</v>
      </c>
      <c r="P161" s="44"/>
      <c r="Q161" s="44"/>
      <c r="R161" s="12">
        <v>0</v>
      </c>
      <c r="S161" s="44">
        <v>0</v>
      </c>
      <c r="T161" s="111"/>
      <c r="U161" s="59" t="s">
        <v>59</v>
      </c>
      <c r="V161" s="19"/>
      <c r="W161" s="19"/>
      <c r="X161" s="44"/>
      <c r="Y161" s="17"/>
      <c r="Z161" s="17"/>
    </row>
    <row r="162" spans="2:26" s="8" customFormat="1" ht="15">
      <c r="B162" s="56" t="s">
        <v>60</v>
      </c>
      <c r="C162" s="49">
        <v>293</v>
      </c>
      <c r="D162" s="49">
        <v>0</v>
      </c>
      <c r="E162" s="75">
        <v>0</v>
      </c>
      <c r="F162" s="50">
        <v>0.19</v>
      </c>
      <c r="G162" s="50">
        <v>0.64</v>
      </c>
      <c r="H162" s="50">
        <v>0</v>
      </c>
      <c r="I162" s="49">
        <v>0</v>
      </c>
      <c r="J162" s="79" t="s">
        <v>60</v>
      </c>
      <c r="K162" s="43"/>
      <c r="L162" s="99">
        <v>291</v>
      </c>
      <c r="M162" s="99">
        <v>0</v>
      </c>
      <c r="N162" s="43"/>
      <c r="O162" s="44">
        <v>0.18</v>
      </c>
      <c r="P162" s="44"/>
      <c r="Q162" s="44"/>
      <c r="R162" s="12">
        <v>0</v>
      </c>
      <c r="S162" s="44">
        <v>0</v>
      </c>
      <c r="T162" s="111"/>
      <c r="U162" s="59" t="s">
        <v>60</v>
      </c>
      <c r="V162" s="19"/>
      <c r="W162" s="19"/>
      <c r="X162" s="44"/>
      <c r="Y162" s="17"/>
      <c r="Z162" s="17"/>
    </row>
    <row r="163" spans="2:26" s="8" customFormat="1" ht="15">
      <c r="B163" s="56" t="s">
        <v>61</v>
      </c>
      <c r="C163" s="48">
        <v>13771</v>
      </c>
      <c r="D163" s="49">
        <v>8</v>
      </c>
      <c r="E163" s="75">
        <v>5.9999999999999995E-4</v>
      </c>
      <c r="F163" s="50">
        <v>3.26</v>
      </c>
      <c r="G163" s="50">
        <v>0.24</v>
      </c>
      <c r="H163" s="50">
        <v>0.41</v>
      </c>
      <c r="I163" s="49">
        <v>0</v>
      </c>
      <c r="J163" s="79" t="s">
        <v>61</v>
      </c>
      <c r="K163" s="43"/>
      <c r="L163" s="42">
        <v>13720</v>
      </c>
      <c r="M163" s="12">
        <v>8</v>
      </c>
      <c r="N163" s="43"/>
      <c r="O163" s="44">
        <v>0.09</v>
      </c>
      <c r="P163" s="44"/>
      <c r="Q163" s="44"/>
      <c r="R163" s="12">
        <v>0</v>
      </c>
      <c r="S163" s="44">
        <v>0</v>
      </c>
      <c r="T163" s="111"/>
      <c r="U163" s="59" t="s">
        <v>61</v>
      </c>
      <c r="V163" s="19"/>
      <c r="W163" s="19"/>
      <c r="X163" s="44"/>
      <c r="Y163" s="17"/>
      <c r="Z163" s="17"/>
    </row>
    <row r="164" spans="2:26" s="8" customFormat="1" ht="15">
      <c r="B164" s="56" t="s">
        <v>32</v>
      </c>
      <c r="C164" s="48">
        <v>74372</v>
      </c>
      <c r="D164" s="49">
        <v>27</v>
      </c>
      <c r="E164" s="75">
        <v>4.0000000000000002E-4</v>
      </c>
      <c r="F164" s="50">
        <v>24.52</v>
      </c>
      <c r="G164" s="50">
        <v>0.33</v>
      </c>
      <c r="H164" s="50">
        <v>0.91</v>
      </c>
      <c r="I164" s="49">
        <v>2</v>
      </c>
      <c r="J164" s="79" t="s">
        <v>32</v>
      </c>
      <c r="K164" s="43">
        <v>2E-3</v>
      </c>
      <c r="L164" s="42">
        <v>81911</v>
      </c>
      <c r="M164" s="12">
        <v>35</v>
      </c>
      <c r="N164" s="43"/>
      <c r="O164" s="44">
        <v>28.26</v>
      </c>
      <c r="P164" s="44"/>
      <c r="Q164" s="44"/>
      <c r="R164" s="12">
        <v>1</v>
      </c>
      <c r="S164" s="44">
        <v>31.87</v>
      </c>
      <c r="T164" s="111"/>
      <c r="U164" s="59" t="s">
        <v>32</v>
      </c>
      <c r="V164" s="19"/>
      <c r="W164" s="19"/>
      <c r="X164" s="44"/>
      <c r="Y164" s="17"/>
      <c r="Z164" s="17"/>
    </row>
    <row r="165" spans="2:26" s="8" customFormat="1" ht="15">
      <c r="B165" s="56" t="s">
        <v>77</v>
      </c>
      <c r="C165" s="48">
        <v>1407</v>
      </c>
      <c r="D165" s="49">
        <v>3</v>
      </c>
      <c r="E165" s="75">
        <v>2.0999999999999999E-3</v>
      </c>
      <c r="F165" s="50">
        <v>1.59</v>
      </c>
      <c r="G165" s="50">
        <v>1.1299999999999999</v>
      </c>
      <c r="H165" s="50">
        <v>0.53</v>
      </c>
      <c r="I165" s="49">
        <v>0</v>
      </c>
      <c r="J165" s="79" t="s">
        <v>77</v>
      </c>
      <c r="K165" s="43"/>
      <c r="L165" s="123"/>
      <c r="M165" s="123"/>
      <c r="N165" s="123"/>
      <c r="O165" s="123"/>
      <c r="P165" s="123"/>
      <c r="Q165" s="123"/>
      <c r="R165" s="123"/>
      <c r="S165" s="123"/>
      <c r="T165" s="111"/>
      <c r="U165" s="59" t="s">
        <v>77</v>
      </c>
      <c r="V165" s="105"/>
      <c r="W165" s="105"/>
      <c r="X165" s="105"/>
      <c r="Y165" s="105"/>
      <c r="Z165" s="105"/>
    </row>
    <row r="166" spans="2:26" s="8" customFormat="1" ht="15">
      <c r="B166" s="56" t="s">
        <v>62</v>
      </c>
      <c r="C166" s="48">
        <v>133016</v>
      </c>
      <c r="D166" s="49">
        <v>96</v>
      </c>
      <c r="E166" s="75">
        <v>6.9999999999999999E-4</v>
      </c>
      <c r="F166" s="50">
        <v>50.01</v>
      </c>
      <c r="G166" s="50">
        <v>0.38</v>
      </c>
      <c r="H166" s="50">
        <v>0.52</v>
      </c>
      <c r="I166" s="49">
        <v>5</v>
      </c>
      <c r="J166" s="79" t="s">
        <v>62</v>
      </c>
      <c r="K166" s="43"/>
      <c r="L166" s="39"/>
      <c r="M166" s="13"/>
      <c r="N166" s="40"/>
      <c r="O166" s="41"/>
      <c r="P166" s="41"/>
      <c r="Q166" s="41"/>
      <c r="R166" s="13"/>
      <c r="S166" s="41"/>
      <c r="T166" s="111"/>
      <c r="U166" s="59" t="s">
        <v>62</v>
      </c>
      <c r="V166" s="19"/>
      <c r="W166" s="19"/>
      <c r="X166" s="44"/>
      <c r="Y166" s="17"/>
      <c r="Z166" s="17"/>
    </row>
    <row r="167" spans="2:26" s="8" customFormat="1" ht="15">
      <c r="B167" s="56" t="s">
        <v>63</v>
      </c>
      <c r="C167" s="48">
        <v>122215</v>
      </c>
      <c r="D167" s="49">
        <v>89</v>
      </c>
      <c r="E167" s="75">
        <v>6.9999999999999999E-4</v>
      </c>
      <c r="F167" s="50">
        <v>100.1</v>
      </c>
      <c r="G167" s="50">
        <v>0.82</v>
      </c>
      <c r="H167" s="50">
        <v>1.1200000000000001</v>
      </c>
      <c r="I167" s="49">
        <v>4</v>
      </c>
      <c r="J167" s="79" t="s">
        <v>63</v>
      </c>
      <c r="K167" s="43"/>
      <c r="L167" s="42">
        <v>121715</v>
      </c>
      <c r="M167" s="12">
        <v>93</v>
      </c>
      <c r="N167" s="43"/>
      <c r="O167" s="44">
        <v>99.68</v>
      </c>
      <c r="P167" s="44"/>
      <c r="Q167" s="44"/>
      <c r="R167" s="12">
        <v>56</v>
      </c>
      <c r="S167" s="44">
        <v>4751.13</v>
      </c>
      <c r="T167" s="111"/>
      <c r="U167" s="59" t="s">
        <v>63</v>
      </c>
      <c r="V167" s="19"/>
      <c r="W167" s="19"/>
      <c r="X167" s="44"/>
      <c r="Y167" s="17"/>
      <c r="Z167" s="17"/>
    </row>
    <row r="168" spans="2:26" s="8" customFormat="1" ht="15">
      <c r="B168" s="56" t="s">
        <v>64</v>
      </c>
      <c r="C168" s="48">
        <v>333256</v>
      </c>
      <c r="D168" s="49">
        <v>76</v>
      </c>
      <c r="E168" s="75">
        <v>2.0000000000000001E-4</v>
      </c>
      <c r="F168" s="50">
        <v>100.02</v>
      </c>
      <c r="G168" s="50">
        <v>0.3</v>
      </c>
      <c r="H168" s="50">
        <v>1.32</v>
      </c>
      <c r="I168" s="49">
        <v>31</v>
      </c>
      <c r="J168" s="80" t="s">
        <v>64</v>
      </c>
      <c r="K168" s="43"/>
      <c r="L168" s="115"/>
      <c r="M168" s="116"/>
      <c r="N168" s="117"/>
      <c r="O168" s="118"/>
      <c r="P168" s="118"/>
      <c r="Q168" s="118"/>
      <c r="R168" s="116"/>
      <c r="S168" s="118"/>
      <c r="T168" s="111"/>
      <c r="U168" s="59" t="s">
        <v>64</v>
      </c>
      <c r="V168" s="19"/>
      <c r="W168" s="19"/>
      <c r="X168" s="44"/>
      <c r="Y168" s="17"/>
      <c r="Z168" s="17"/>
    </row>
    <row r="169" spans="2:26" s="8" customFormat="1" ht="15">
      <c r="B169" s="56" t="s">
        <v>65</v>
      </c>
      <c r="C169" s="46">
        <v>20858</v>
      </c>
      <c r="D169" s="47">
        <v>11</v>
      </c>
      <c r="E169" s="34">
        <v>5.0000000000000001E-4</v>
      </c>
      <c r="F169" s="35">
        <v>14.99</v>
      </c>
      <c r="G169" s="35">
        <v>0.72</v>
      </c>
      <c r="H169" s="35">
        <v>1.36</v>
      </c>
      <c r="I169" s="47">
        <v>1</v>
      </c>
      <c r="J169" s="80" t="s">
        <v>65</v>
      </c>
      <c r="K169" s="43"/>
      <c r="L169" s="119"/>
      <c r="M169" s="120"/>
      <c r="N169" s="121"/>
      <c r="O169" s="122"/>
      <c r="P169" s="122"/>
      <c r="Q169" s="122"/>
      <c r="R169" s="120"/>
      <c r="S169" s="122"/>
      <c r="T169" s="111"/>
      <c r="U169" s="59" t="s">
        <v>65</v>
      </c>
      <c r="V169" s="19"/>
      <c r="W169" s="19"/>
      <c r="X169" s="44"/>
      <c r="Y169" s="17"/>
      <c r="Z169" s="17"/>
    </row>
    <row r="170" spans="2:26" s="8" customFormat="1" ht="15">
      <c r="B170" s="59" t="s">
        <v>117</v>
      </c>
      <c r="C170" s="127">
        <v>272301</v>
      </c>
      <c r="D170" s="128">
        <v>184</v>
      </c>
      <c r="E170" s="75">
        <f t="shared" ref="E170:E172" si="186">D170/C170</f>
        <v>6.7572282143657199E-4</v>
      </c>
      <c r="F170" s="128">
        <v>48.71</v>
      </c>
      <c r="G170" s="35">
        <f t="shared" ref="G170:G172" si="187">F170/C170*1000</f>
        <v>0.17888292734877947</v>
      </c>
      <c r="H170" s="35">
        <f t="shared" ref="H170:H172" si="188">F170/D170</f>
        <v>0.26472826086956525</v>
      </c>
      <c r="I170" s="129"/>
      <c r="J170" s="56" t="s">
        <v>73</v>
      </c>
      <c r="K170" s="43"/>
      <c r="L170" s="115"/>
      <c r="M170" s="116"/>
      <c r="N170" s="117"/>
      <c r="O170" s="118"/>
      <c r="P170" s="118"/>
      <c r="Q170" s="118"/>
      <c r="R170" s="116"/>
      <c r="S170" s="118"/>
      <c r="T170" s="111"/>
      <c r="U170" s="59" t="s">
        <v>73</v>
      </c>
      <c r="V170" s="19"/>
      <c r="W170" s="19"/>
      <c r="X170" s="44"/>
      <c r="Y170" s="17"/>
      <c r="Z170" s="17"/>
    </row>
    <row r="171" spans="2:26" s="8" customFormat="1" ht="15">
      <c r="B171" s="59" t="s">
        <v>116</v>
      </c>
      <c r="C171" s="130">
        <v>160074</v>
      </c>
      <c r="D171" s="131">
        <v>124</v>
      </c>
      <c r="E171" s="75">
        <f t="shared" si="186"/>
        <v>7.7464172820070716E-4</v>
      </c>
      <c r="F171" s="131">
        <v>29.09</v>
      </c>
      <c r="G171" s="35">
        <f t="shared" si="187"/>
        <v>0.18172845059160139</v>
      </c>
      <c r="H171" s="35">
        <f t="shared" si="188"/>
        <v>0.23459677419354838</v>
      </c>
      <c r="I171" s="132"/>
      <c r="J171" s="59" t="s">
        <v>74</v>
      </c>
      <c r="K171" s="43">
        <v>5.2600000000000001E-2</v>
      </c>
      <c r="L171" s="42">
        <v>686095</v>
      </c>
      <c r="M171" s="12">
        <v>413</v>
      </c>
      <c r="N171" s="43">
        <f t="shared" ref="N171" si="189">M171/L171</f>
        <v>6.0195745487140993E-4</v>
      </c>
      <c r="O171" s="44">
        <v>125.89</v>
      </c>
      <c r="P171" s="44">
        <f t="shared" ref="P171" si="190">O171/L171*1000</f>
        <v>0.18348770942799467</v>
      </c>
      <c r="Q171" s="44">
        <f t="shared" ref="Q171" si="191">O171/M171</f>
        <v>0.30481840193704601</v>
      </c>
      <c r="R171" s="12">
        <v>1</v>
      </c>
      <c r="S171" s="44">
        <v>45.9</v>
      </c>
      <c r="T171" s="111"/>
      <c r="U171" s="59" t="s">
        <v>74</v>
      </c>
      <c r="V171" s="19"/>
      <c r="W171" s="19"/>
      <c r="X171" s="44"/>
      <c r="Y171" s="17"/>
      <c r="Z171" s="17"/>
    </row>
    <row r="172" spans="2:26" s="8" customFormat="1" ht="15">
      <c r="B172" s="59" t="s">
        <v>101</v>
      </c>
      <c r="C172" s="133">
        <v>533327</v>
      </c>
      <c r="D172" s="134">
        <v>271</v>
      </c>
      <c r="E172" s="75">
        <f t="shared" si="186"/>
        <v>5.0813103405602936E-4</v>
      </c>
      <c r="F172" s="134">
        <v>98.4</v>
      </c>
      <c r="G172" s="35">
        <f t="shared" si="187"/>
        <v>0.18450219096351769</v>
      </c>
      <c r="H172" s="35">
        <f t="shared" si="188"/>
        <v>0.36309963099630999</v>
      </c>
      <c r="I172" s="132"/>
      <c r="J172" s="59" t="s">
        <v>101</v>
      </c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59" t="s">
        <v>101</v>
      </c>
      <c r="V172" s="105"/>
      <c r="W172" s="105"/>
      <c r="X172" s="105"/>
      <c r="Y172" s="105"/>
      <c r="Z172" s="105"/>
    </row>
    <row r="173" spans="2:26" s="8" customFormat="1" ht="15">
      <c r="B173" s="114"/>
      <c r="C173" s="46"/>
      <c r="D173" s="46"/>
      <c r="E173" s="75"/>
      <c r="F173" s="50"/>
      <c r="G173" s="31"/>
      <c r="H173" s="31"/>
      <c r="I173" s="47"/>
      <c r="J173" s="80"/>
      <c r="K173" s="53"/>
      <c r="L173" s="46"/>
      <c r="M173" s="46"/>
      <c r="N173" s="75"/>
      <c r="O173" s="50"/>
      <c r="P173" s="44"/>
      <c r="Q173" s="44"/>
      <c r="R173" s="12"/>
      <c r="S173" s="44"/>
      <c r="T173" s="12"/>
      <c r="U173" s="79"/>
      <c r="V173" s="19"/>
      <c r="W173" s="19"/>
      <c r="X173" s="44"/>
      <c r="Y173" s="17"/>
      <c r="Z173" s="17"/>
    </row>
  </sheetData>
  <mergeCells count="10">
    <mergeCell ref="C126:I126"/>
    <mergeCell ref="C142:I142"/>
    <mergeCell ref="C158:I158"/>
    <mergeCell ref="C110:I110"/>
    <mergeCell ref="C94:I94"/>
    <mergeCell ref="C31:I31"/>
    <mergeCell ref="C38:I38"/>
    <mergeCell ref="C53:I53"/>
    <mergeCell ref="C66:I66"/>
    <mergeCell ref="C79:I7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47"/>
  <sheetViews>
    <sheetView workbookViewId="0">
      <selection activeCell="I12" sqref="I12"/>
    </sheetView>
  </sheetViews>
  <sheetFormatPr defaultColWidth="12.875" defaultRowHeight="16.5"/>
  <cols>
    <col min="1" max="1" width="6.5" style="2" customWidth="1"/>
    <col min="2" max="2" width="12.125" style="5" bestFit="1" customWidth="1"/>
    <col min="3" max="3" width="10.375" style="2" bestFit="1" customWidth="1"/>
    <col min="4" max="4" width="11.625" style="2" bestFit="1" customWidth="1"/>
    <col min="5" max="5" width="11.5" style="2" bestFit="1" customWidth="1"/>
    <col min="6" max="16384" width="12.875" style="2"/>
  </cols>
  <sheetData>
    <row r="2" spans="2:6" s="5" customFormat="1">
      <c r="B2" s="6"/>
      <c r="C2" s="6" t="s">
        <v>33</v>
      </c>
      <c r="D2" s="6"/>
      <c r="E2" s="6" t="s">
        <v>36</v>
      </c>
      <c r="F2" s="6"/>
    </row>
    <row r="3" spans="2:6">
      <c r="B3" s="6" t="s">
        <v>14</v>
      </c>
      <c r="C3" s="4">
        <v>10001</v>
      </c>
      <c r="D3" s="4" t="s">
        <v>40</v>
      </c>
      <c r="E3" s="4">
        <v>10002</v>
      </c>
      <c r="F3" s="4" t="s">
        <v>41</v>
      </c>
    </row>
    <row r="4" spans="2:6">
      <c r="B4" s="6" t="s">
        <v>15</v>
      </c>
      <c r="C4" s="4">
        <v>10002</v>
      </c>
      <c r="D4" s="4" t="s">
        <v>42</v>
      </c>
      <c r="E4" s="4">
        <v>10004</v>
      </c>
      <c r="F4" s="4" t="s">
        <v>43</v>
      </c>
    </row>
    <row r="5" spans="2:6">
      <c r="B5" s="6" t="s">
        <v>37</v>
      </c>
      <c r="C5" s="4">
        <v>10003</v>
      </c>
      <c r="D5" s="4" t="s">
        <v>44</v>
      </c>
      <c r="E5" s="4">
        <v>10005</v>
      </c>
      <c r="F5" s="4" t="s">
        <v>45</v>
      </c>
    </row>
    <row r="6" spans="2:6">
      <c r="B6" s="6" t="s">
        <v>29</v>
      </c>
      <c r="C6" s="4">
        <v>10004</v>
      </c>
      <c r="D6" s="4" t="s">
        <v>43</v>
      </c>
      <c r="E6" s="4">
        <v>10007</v>
      </c>
      <c r="F6" s="4" t="s">
        <v>46</v>
      </c>
    </row>
    <row r="7" spans="2:6">
      <c r="B7" s="6" t="s">
        <v>35</v>
      </c>
      <c r="C7" s="4">
        <v>10005</v>
      </c>
      <c r="D7" s="4" t="s">
        <v>79</v>
      </c>
      <c r="E7" s="4">
        <v>10008</v>
      </c>
      <c r="F7" s="4" t="s">
        <v>47</v>
      </c>
    </row>
    <row r="8" spans="2:6">
      <c r="B8" s="6" t="s">
        <v>48</v>
      </c>
      <c r="C8" s="4">
        <v>10006</v>
      </c>
      <c r="D8" s="4"/>
      <c r="E8" s="4"/>
      <c r="F8" s="4"/>
    </row>
    <row r="9" spans="2:6">
      <c r="B9" s="6" t="s">
        <v>34</v>
      </c>
      <c r="C9" s="4">
        <v>10007</v>
      </c>
      <c r="D9" s="4" t="s">
        <v>46</v>
      </c>
      <c r="E9" s="4">
        <v>10009</v>
      </c>
      <c r="F9" s="4" t="s">
        <v>31</v>
      </c>
    </row>
    <row r="10" spans="2:6">
      <c r="B10" s="6" t="s">
        <v>49</v>
      </c>
      <c r="C10" s="4">
        <v>10008</v>
      </c>
      <c r="D10" s="4" t="s">
        <v>47</v>
      </c>
      <c r="E10" s="4">
        <v>10010</v>
      </c>
      <c r="F10" s="4" t="s">
        <v>50</v>
      </c>
    </row>
    <row r="11" spans="2:6">
      <c r="B11" s="6" t="s">
        <v>39</v>
      </c>
      <c r="C11" s="4">
        <v>10009</v>
      </c>
      <c r="D11" s="4" t="s">
        <v>31</v>
      </c>
      <c r="E11" s="4">
        <v>10016</v>
      </c>
      <c r="F11" s="4" t="s">
        <v>51</v>
      </c>
    </row>
    <row r="12" spans="2:6">
      <c r="B12" s="6" t="s">
        <v>38</v>
      </c>
      <c r="C12" s="4">
        <v>10010</v>
      </c>
      <c r="D12" s="4" t="s">
        <v>50</v>
      </c>
      <c r="E12" s="4">
        <v>10017</v>
      </c>
      <c r="F12" s="4" t="s">
        <v>52</v>
      </c>
    </row>
    <row r="13" spans="2:6">
      <c r="B13" s="6" t="s">
        <v>105</v>
      </c>
      <c r="C13" s="4">
        <v>10011</v>
      </c>
      <c r="D13" s="4" t="s">
        <v>103</v>
      </c>
      <c r="E13" s="4">
        <v>10026</v>
      </c>
      <c r="F13" s="4" t="s">
        <v>104</v>
      </c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8" spans="3:3">
      <c r="C28" s="3"/>
    </row>
    <row r="29" spans="3:3">
      <c r="C29" s="3"/>
    </row>
    <row r="30" spans="3:3">
      <c r="C30" s="3"/>
    </row>
    <row r="32" spans="3:3">
      <c r="C32" s="3"/>
    </row>
    <row r="33" spans="3:3">
      <c r="C33" s="3"/>
    </row>
    <row r="34" spans="3:3">
      <c r="C34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1" spans="3:3">
      <c r="C41" s="3"/>
    </row>
    <row r="42" spans="3:3">
      <c r="C42" s="3"/>
    </row>
    <row r="43" spans="3:3">
      <c r="C43" s="3"/>
    </row>
    <row r="45" spans="3:3">
      <c r="C45" s="3"/>
    </row>
    <row r="46" spans="3:3">
      <c r="C46" s="3"/>
    </row>
    <row r="47" spans="3:3">
      <c r="C47" s="3"/>
    </row>
  </sheetData>
  <sortState ref="K1:K5">
    <sortCondition ref="K1"/>
  </sortState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L32"/>
  <sheetViews>
    <sheetView workbookViewId="0">
      <selection activeCell="B24" sqref="B24"/>
    </sheetView>
  </sheetViews>
  <sheetFormatPr defaultRowHeight="13.5"/>
  <cols>
    <col min="1" max="1" width="14.375" bestFit="1" customWidth="1"/>
    <col min="2" max="2" width="32.625" bestFit="1" customWidth="1"/>
    <col min="3" max="3" width="40.5" bestFit="1" customWidth="1"/>
    <col min="4" max="4" width="12.75" bestFit="1" customWidth="1"/>
  </cols>
  <sheetData>
    <row r="2" spans="1:4">
      <c r="A2" s="97">
        <v>41207.967372685183</v>
      </c>
      <c r="B2" s="98" t="s">
        <v>97</v>
      </c>
      <c r="C2" s="98" t="s">
        <v>98</v>
      </c>
      <c r="D2" s="99" t="s">
        <v>99</v>
      </c>
    </row>
    <row r="3" spans="1:4">
      <c r="A3" s="100">
        <v>41209.079745370371</v>
      </c>
      <c r="B3" s="98" t="s">
        <v>91</v>
      </c>
      <c r="C3" s="98" t="s">
        <v>80</v>
      </c>
      <c r="D3" s="99" t="s">
        <v>81</v>
      </c>
    </row>
    <row r="4" spans="1:4">
      <c r="A4" s="97">
        <v>41209.183923611112</v>
      </c>
      <c r="B4" s="101" t="s">
        <v>92</v>
      </c>
      <c r="C4" s="98" t="s">
        <v>82</v>
      </c>
      <c r="D4" s="99" t="s">
        <v>83</v>
      </c>
    </row>
    <row r="5" spans="1:4">
      <c r="A5" s="100">
        <v>41211.004374999997</v>
      </c>
      <c r="B5" s="98" t="s">
        <v>93</v>
      </c>
      <c r="C5" s="98" t="s">
        <v>84</v>
      </c>
      <c r="D5" s="99" t="s">
        <v>85</v>
      </c>
    </row>
    <row r="6" spans="1:4">
      <c r="A6" s="97">
        <v>41211.08966435185</v>
      </c>
      <c r="B6" s="98" t="s">
        <v>94</v>
      </c>
      <c r="C6" s="98" t="s">
        <v>86</v>
      </c>
      <c r="D6" s="99" t="s">
        <v>87</v>
      </c>
    </row>
    <row r="7" spans="1:4">
      <c r="A7" s="100">
        <v>41211.169062499997</v>
      </c>
      <c r="B7" s="98" t="s">
        <v>95</v>
      </c>
      <c r="C7" s="98" t="s">
        <v>88</v>
      </c>
      <c r="D7" s="99" t="s">
        <v>89</v>
      </c>
    </row>
    <row r="8" spans="1:4">
      <c r="A8" s="102">
        <v>41212.192141203705</v>
      </c>
      <c r="B8" s="98" t="s">
        <v>96</v>
      </c>
      <c r="C8" s="98" t="s">
        <v>90</v>
      </c>
      <c r="D8" s="99" t="s">
        <v>100</v>
      </c>
    </row>
    <row r="9" spans="1:4">
      <c r="A9" s="96"/>
      <c r="B9" s="96"/>
      <c r="C9" s="96"/>
      <c r="D9" s="96"/>
    </row>
    <row r="32" spans="1:12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reporting</vt:lpstr>
      <vt:lpstr>aid_tid</vt:lpstr>
      <vt:lpstr>glasses_conv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Jula</cp:lastModifiedBy>
  <dcterms:created xsi:type="dcterms:W3CDTF">2012-10-08T08:17:34Z</dcterms:created>
  <dcterms:modified xsi:type="dcterms:W3CDTF">2012-11-08T04:32:26Z</dcterms:modified>
</cp:coreProperties>
</file>