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1"/>
  </bookViews>
  <sheets>
    <sheet name="第一周（8-16～8-26）" sheetId="14" r:id="rId1"/>
    <sheet name="第二周（8-27～9-2）" sheetId="18" r:id="rId2"/>
    <sheet name="Sheet2" sheetId="17" r:id="rId3"/>
  </sheets>
  <calcPr calcId="125725"/>
</workbook>
</file>

<file path=xl/calcChain.xml><?xml version="1.0" encoding="utf-8"?>
<calcChain xmlns="http://schemas.openxmlformats.org/spreadsheetml/2006/main">
  <c r="I42" i="18"/>
  <c r="J42" s="1"/>
  <c r="H42"/>
  <c r="G42"/>
  <c r="E42"/>
  <c r="F42" s="1"/>
  <c r="D42"/>
  <c r="J41"/>
  <c r="F41"/>
  <c r="K40"/>
  <c r="J40"/>
  <c r="F40"/>
  <c r="K39"/>
  <c r="J39"/>
  <c r="F39"/>
  <c r="K38"/>
  <c r="J38"/>
  <c r="F38"/>
  <c r="K37"/>
  <c r="J37"/>
  <c r="F37"/>
  <c r="K36"/>
  <c r="J36"/>
  <c r="F36"/>
  <c r="K35"/>
  <c r="J35"/>
  <c r="F35"/>
  <c r="K34"/>
  <c r="J34"/>
  <c r="F34"/>
  <c r="K33"/>
  <c r="J33"/>
  <c r="F33"/>
  <c r="K32"/>
  <c r="J32"/>
  <c r="F32"/>
  <c r="J31"/>
  <c r="F31"/>
  <c r="J41" i="14"/>
  <c r="F41"/>
  <c r="K40"/>
  <c r="J40"/>
  <c r="F40"/>
  <c r="K39"/>
  <c r="J39"/>
  <c r="F39"/>
  <c r="K38"/>
  <c r="J38"/>
  <c r="F38"/>
  <c r="K37"/>
  <c r="J37"/>
  <c r="F37"/>
  <c r="K36"/>
  <c r="J36"/>
  <c r="F36"/>
  <c r="K35"/>
  <c r="J35"/>
  <c r="F35"/>
  <c r="K34"/>
  <c r="J34"/>
  <c r="F34"/>
  <c r="K33"/>
  <c r="J33"/>
  <c r="F33"/>
  <c r="K32"/>
  <c r="J32"/>
  <c r="F32"/>
  <c r="J31"/>
  <c r="F31"/>
  <c r="K42" i="18" l="1"/>
  <c r="I42" i="14"/>
  <c r="H42"/>
  <c r="G42"/>
  <c r="E42"/>
  <c r="D42"/>
  <c r="F42" l="1"/>
  <c r="J42"/>
  <c r="K42"/>
</calcChain>
</file>

<file path=xl/sharedStrings.xml><?xml version="1.0" encoding="utf-8"?>
<sst xmlns="http://schemas.openxmlformats.org/spreadsheetml/2006/main" count="40" uniqueCount="20">
  <si>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</si>
  <si>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</si>
  <si>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</si>
  <si>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</si>
  <si>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</si>
  <si>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</si>
  <si>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</si>
  <si>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</si>
  <si>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</si>
  <si>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</si>
  <si>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</si>
  <si>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</si>
  <si>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</si>
  <si>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</si>
  <si>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</si>
  <si>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</si>
  <si>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r>
      <t xml:space="preserve">koogul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</si>
  <si>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t>-</t>
    <phoneticPr fontId="31" type="noConversion"/>
  </si>
  <si>
    <t>-</t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</si>
  <si>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这个期间属于测试投放期，以下是我们在这个期间的主要工作：
1.网站代码部署、检查；
2.创意沟通、设计及部署；
3.各交易市场提交活动审批；
4.流程的测试；
5.较少的预算投放，进行各测试场景的测试；
6.投放时间与投放媒体类别的测试和优化；
7.动态出价算法设定：
   a.不断调整媒体类别和出价得到基础数据池和基础价格范围；
   b.根据数据分析设定动态算法的各参数；
   c.执行动态出价算法；
8.反作弊算法设定，防止不良网站的作弊行为；
9.尝试不同地域的测试投放；
总结：测试结果不理想，CTR始终在万分之二，CPC也较高，所以暂停了周末的投放，本周重新调整投放模型；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1.重构投放模型进行测试投放；
2.投放优化与动态出价算法优化；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</si>
</sst>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26" fontId="19" fillId="35" borderId="1" xfId="0" applyNumberFormat="1" applyFont="1" applyFill="1" applyBorder="1" applyAlignment="1">
      <alignment horizontal="right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50"/>
  <sheetViews>
    <sheetView workbookViewId="0">
      <selection activeCell="C9" sqref="C9:K2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0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41137</v>
      </c>
      <c r="D6" s="2">
        <v>41147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3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3" t="s">
        <v>19</v>
      </c>
      <c r="D9" s="34"/>
      <c r="E9" s="34"/>
      <c r="F9" s="34"/>
      <c r="G9" s="34"/>
      <c r="H9" s="34"/>
      <c r="I9" s="34"/>
      <c r="J9" s="34"/>
      <c r="K9" s="34"/>
      <c r="L9" s="9"/>
    </row>
    <row r="10" spans="2:12"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</row>
    <row r="11" spans="2:12">
      <c r="B11" s="7"/>
      <c r="C11" s="34"/>
      <c r="D11" s="34"/>
      <c r="E11" s="34"/>
      <c r="F11" s="34"/>
      <c r="G11" s="34"/>
      <c r="H11" s="34"/>
      <c r="I11" s="34"/>
      <c r="J11" s="34"/>
      <c r="K11" s="34"/>
      <c r="L11" s="9"/>
    </row>
    <row r="12" spans="2:12">
      <c r="B12" s="7"/>
      <c r="C12" s="34"/>
      <c r="D12" s="34"/>
      <c r="E12" s="34"/>
      <c r="F12" s="34"/>
      <c r="G12" s="34"/>
      <c r="H12" s="34"/>
      <c r="I12" s="34"/>
      <c r="J12" s="34"/>
      <c r="K12" s="34"/>
      <c r="L12" s="9"/>
    </row>
    <row r="13" spans="2:12">
      <c r="B13" s="7"/>
      <c r="C13" s="34"/>
      <c r="D13" s="34"/>
      <c r="E13" s="34"/>
      <c r="F13" s="34"/>
      <c r="G13" s="34"/>
      <c r="H13" s="34"/>
      <c r="I13" s="34"/>
      <c r="J13" s="34"/>
      <c r="K13" s="34"/>
      <c r="L13" s="9"/>
    </row>
    <row r="14" spans="2:12">
      <c r="B14" s="7"/>
      <c r="C14" s="34"/>
      <c r="D14" s="34"/>
      <c r="E14" s="34"/>
      <c r="F14" s="34"/>
      <c r="G14" s="34"/>
      <c r="H14" s="34"/>
      <c r="I14" s="34"/>
      <c r="J14" s="34"/>
      <c r="K14" s="34"/>
      <c r="L14" s="9"/>
    </row>
    <row r="15" spans="2:12">
      <c r="B15" s="7"/>
      <c r="C15" s="34"/>
      <c r="D15" s="34"/>
      <c r="E15" s="34"/>
      <c r="F15" s="34"/>
      <c r="G15" s="34"/>
      <c r="H15" s="34"/>
      <c r="I15" s="34"/>
      <c r="J15" s="34"/>
      <c r="K15" s="34"/>
      <c r="L15" s="9"/>
    </row>
    <row r="16" spans="2:12">
      <c r="B16" s="7"/>
      <c r="C16" s="34"/>
      <c r="D16" s="34"/>
      <c r="E16" s="34"/>
      <c r="F16" s="34"/>
      <c r="G16" s="34"/>
      <c r="H16" s="34"/>
      <c r="I16" s="34"/>
      <c r="J16" s="34"/>
      <c r="K16" s="34"/>
      <c r="L16" s="9"/>
    </row>
    <row r="17" spans="2:12">
      <c r="B17" s="7"/>
      <c r="C17" s="34"/>
      <c r="D17" s="34"/>
      <c r="E17" s="34"/>
      <c r="F17" s="34"/>
      <c r="G17" s="34"/>
      <c r="H17" s="34"/>
      <c r="I17" s="34"/>
      <c r="J17" s="34"/>
      <c r="K17" s="34"/>
      <c r="L17" s="9"/>
    </row>
    <row r="18" spans="2:12">
      <c r="B18" s="7"/>
      <c r="C18" s="34"/>
      <c r="D18" s="34"/>
      <c r="E18" s="34"/>
      <c r="F18" s="34"/>
      <c r="G18" s="34"/>
      <c r="H18" s="34"/>
      <c r="I18" s="34"/>
      <c r="J18" s="34"/>
      <c r="K18" s="34"/>
      <c r="L18" s="9"/>
    </row>
    <row r="19" spans="2:12">
      <c r="B19" s="7"/>
      <c r="C19" s="34"/>
      <c r="D19" s="34"/>
      <c r="E19" s="34"/>
      <c r="F19" s="34"/>
      <c r="G19" s="34"/>
      <c r="H19" s="34"/>
      <c r="I19" s="34"/>
      <c r="J19" s="34"/>
      <c r="K19" s="34"/>
      <c r="L19" s="9"/>
    </row>
    <row r="20" spans="2:12">
      <c r="B20" s="7"/>
      <c r="C20" s="34"/>
      <c r="D20" s="34"/>
      <c r="E20" s="34"/>
      <c r="F20" s="34"/>
      <c r="G20" s="34"/>
      <c r="H20" s="34"/>
      <c r="I20" s="34"/>
      <c r="J20" s="34"/>
      <c r="K20" s="34"/>
      <c r="L20" s="9"/>
    </row>
    <row r="21" spans="2:12">
      <c r="B21" s="7"/>
      <c r="C21" s="34"/>
      <c r="D21" s="34"/>
      <c r="E21" s="34"/>
      <c r="F21" s="34"/>
      <c r="G21" s="34"/>
      <c r="H21" s="34"/>
      <c r="I21" s="34"/>
      <c r="J21" s="34"/>
      <c r="K21" s="34"/>
      <c r="L21" s="9"/>
    </row>
    <row r="22" spans="2:12">
      <c r="B22" s="7"/>
      <c r="C22" s="34"/>
      <c r="D22" s="34"/>
      <c r="E22" s="34"/>
      <c r="F22" s="34"/>
      <c r="G22" s="34"/>
      <c r="H22" s="34"/>
      <c r="I22" s="34"/>
      <c r="J22" s="34"/>
      <c r="K22" s="34"/>
      <c r="L22" s="9"/>
    </row>
    <row r="23" spans="2:12">
      <c r="B23" s="7"/>
      <c r="C23" s="34"/>
      <c r="D23" s="34"/>
      <c r="E23" s="34"/>
      <c r="F23" s="34"/>
      <c r="G23" s="34"/>
      <c r="H23" s="34"/>
      <c r="I23" s="34"/>
      <c r="J23" s="34"/>
      <c r="K23" s="34"/>
      <c r="L23" s="9"/>
    </row>
    <row r="24" spans="2:12">
      <c r="B24" s="7"/>
      <c r="C24" s="34"/>
      <c r="D24" s="34"/>
      <c r="E24" s="34"/>
      <c r="F24" s="34"/>
      <c r="G24" s="34"/>
      <c r="H24" s="34"/>
      <c r="I24" s="34"/>
      <c r="J24" s="34"/>
      <c r="K24" s="34"/>
      <c r="L24" s="9"/>
    </row>
    <row r="25" spans="2:12">
      <c r="B25" s="7"/>
      <c r="C25" s="34"/>
      <c r="D25" s="34"/>
      <c r="E25" s="34"/>
      <c r="F25" s="34"/>
      <c r="G25" s="34"/>
      <c r="H25" s="34"/>
      <c r="I25" s="34"/>
      <c r="J25" s="34"/>
      <c r="K25" s="34"/>
      <c r="L25" s="9"/>
    </row>
    <row r="26" spans="2:12">
      <c r="B26" s="7"/>
      <c r="C26" s="34"/>
      <c r="D26" s="34"/>
      <c r="E26" s="34"/>
      <c r="F26" s="34"/>
      <c r="G26" s="34"/>
      <c r="H26" s="34"/>
      <c r="I26" s="34"/>
      <c r="J26" s="34"/>
      <c r="K26" s="34"/>
      <c r="L26" s="9"/>
    </row>
    <row r="27" spans="2:12">
      <c r="B27" s="7"/>
      <c r="C27" s="34"/>
      <c r="D27" s="34"/>
      <c r="E27" s="34"/>
      <c r="F27" s="34"/>
      <c r="G27" s="34"/>
      <c r="H27" s="34"/>
      <c r="I27" s="34"/>
      <c r="J27" s="34"/>
      <c r="K27" s="34"/>
      <c r="L27" s="9"/>
    </row>
    <row r="28" spans="2:12">
      <c r="B28" s="7"/>
      <c r="L28" s="9"/>
    </row>
    <row r="29" spans="2:12">
      <c r="B29" s="7"/>
      <c r="C29" s="23" t="s">
        <v>14</v>
      </c>
      <c r="D29" s="8"/>
      <c r="E29" s="8"/>
      <c r="F29" s="8"/>
      <c r="L29" s="9"/>
    </row>
    <row r="30" spans="2:12">
      <c r="B30" s="7"/>
      <c r="C30" s="19" t="s">
        <v>3</v>
      </c>
      <c r="D30" s="19" t="s">
        <v>4</v>
      </c>
      <c r="E30" s="24" t="s">
        <v>12</v>
      </c>
      <c r="F30" s="24" t="s">
        <v>5</v>
      </c>
      <c r="G30" s="18" t="s">
        <v>6</v>
      </c>
      <c r="H30" s="19" t="s">
        <v>7</v>
      </c>
      <c r="I30" s="19" t="s">
        <v>8</v>
      </c>
      <c r="J30" s="19" t="s">
        <v>9</v>
      </c>
      <c r="K30" s="19" t="s">
        <v>10</v>
      </c>
      <c r="L30" s="9"/>
    </row>
    <row r="31" spans="2:12">
      <c r="B31" s="7"/>
      <c r="C31" s="3">
        <v>41137</v>
      </c>
      <c r="D31" s="17">
        <v>77790</v>
      </c>
      <c r="E31" s="25">
        <v>26</v>
      </c>
      <c r="F31" s="26">
        <f t="shared" ref="F31:F41" si="0">E31/D31</f>
        <v>3.342331919269829E-4</v>
      </c>
      <c r="G31" s="17">
        <v>0</v>
      </c>
      <c r="H31" s="29">
        <v>0</v>
      </c>
      <c r="I31" s="1">
        <v>22.36</v>
      </c>
      <c r="J31" s="1">
        <f t="shared" ref="J31:J41" si="1">I31/D31*1000</f>
        <v>0.28744054505720529</v>
      </c>
      <c r="K31" s="22" t="s">
        <v>17</v>
      </c>
      <c r="L31" s="9"/>
    </row>
    <row r="32" spans="2:12">
      <c r="B32" s="7"/>
      <c r="C32" s="3">
        <v>41138</v>
      </c>
      <c r="D32" s="17">
        <v>25696</v>
      </c>
      <c r="E32" s="25">
        <v>14</v>
      </c>
      <c r="F32" s="26">
        <f t="shared" si="0"/>
        <v>5.4483188044831881E-4</v>
      </c>
      <c r="G32" s="17">
        <v>0</v>
      </c>
      <c r="H32" s="29">
        <v>0</v>
      </c>
      <c r="I32" s="1">
        <v>20.6</v>
      </c>
      <c r="J32" s="1">
        <f t="shared" si="1"/>
        <v>0.80168119551681194</v>
      </c>
      <c r="K32" s="22">
        <f t="shared" ref="K32:K40" si="2">I32/E32</f>
        <v>1.4714285714285715</v>
      </c>
      <c r="L32" s="9"/>
    </row>
    <row r="33" spans="2:12">
      <c r="B33" s="7"/>
      <c r="C33" s="3">
        <v>41139</v>
      </c>
      <c r="D33" s="17">
        <v>74692</v>
      </c>
      <c r="E33" s="25">
        <v>22</v>
      </c>
      <c r="F33" s="26">
        <f t="shared" si="0"/>
        <v>2.9454292293686068E-4</v>
      </c>
      <c r="G33" s="17">
        <v>0</v>
      </c>
      <c r="H33" s="29">
        <v>0</v>
      </c>
      <c r="I33" s="1">
        <v>21.68</v>
      </c>
      <c r="J33" s="1">
        <f t="shared" si="1"/>
        <v>0.29025866223959723</v>
      </c>
      <c r="K33" s="22">
        <f t="shared" si="2"/>
        <v>0.98545454545454547</v>
      </c>
      <c r="L33" s="9"/>
    </row>
    <row r="34" spans="2:12">
      <c r="B34" s="7"/>
      <c r="C34" s="3">
        <v>41140</v>
      </c>
      <c r="D34" s="17">
        <v>76754</v>
      </c>
      <c r="E34" s="25">
        <v>17</v>
      </c>
      <c r="F34" s="26">
        <f t="shared" si="0"/>
        <v>2.214868280480496E-4</v>
      </c>
      <c r="G34" s="17">
        <v>0</v>
      </c>
      <c r="H34" s="29">
        <v>0</v>
      </c>
      <c r="I34" s="1">
        <v>21.66</v>
      </c>
      <c r="J34" s="1">
        <f t="shared" si="1"/>
        <v>0.28220027620710325</v>
      </c>
      <c r="K34" s="22">
        <f t="shared" si="2"/>
        <v>1.2741176470588236</v>
      </c>
      <c r="L34" s="9"/>
    </row>
    <row r="35" spans="2:12">
      <c r="B35" s="7"/>
      <c r="C35" s="3">
        <v>41141</v>
      </c>
      <c r="D35" s="17">
        <v>54233</v>
      </c>
      <c r="E35" s="25">
        <v>13</v>
      </c>
      <c r="F35" s="26">
        <f t="shared" si="0"/>
        <v>2.3970645179134474E-4</v>
      </c>
      <c r="G35" s="17">
        <v>0</v>
      </c>
      <c r="H35" s="29">
        <v>0</v>
      </c>
      <c r="I35" s="1">
        <v>12.11</v>
      </c>
      <c r="J35" s="1">
        <f t="shared" si="1"/>
        <v>0.22329577932255268</v>
      </c>
      <c r="K35" s="22">
        <f t="shared" si="2"/>
        <v>0.93153846153846154</v>
      </c>
      <c r="L35" s="9"/>
    </row>
    <row r="36" spans="2:12">
      <c r="B36" s="7"/>
      <c r="C36" s="3">
        <v>41142</v>
      </c>
      <c r="D36" s="17">
        <v>34787</v>
      </c>
      <c r="E36" s="25">
        <v>3</v>
      </c>
      <c r="F36" s="26">
        <f t="shared" si="0"/>
        <v>8.6239112312070599E-5</v>
      </c>
      <c r="G36" s="17">
        <v>0</v>
      </c>
      <c r="H36" s="29">
        <v>0</v>
      </c>
      <c r="I36" s="1">
        <v>9.32</v>
      </c>
      <c r="J36" s="1">
        <f t="shared" si="1"/>
        <v>0.26791617558283265</v>
      </c>
      <c r="K36" s="22">
        <f t="shared" si="2"/>
        <v>3.1066666666666669</v>
      </c>
      <c r="L36" s="9"/>
    </row>
    <row r="37" spans="2:12">
      <c r="B37" s="7"/>
      <c r="C37" s="3">
        <v>41143</v>
      </c>
      <c r="D37" s="17">
        <v>78065</v>
      </c>
      <c r="E37" s="25">
        <v>12</v>
      </c>
      <c r="F37" s="26">
        <f t="shared" si="0"/>
        <v>1.5371805546659834E-4</v>
      </c>
      <c r="G37" s="17">
        <v>0</v>
      </c>
      <c r="H37" s="29">
        <v>0</v>
      </c>
      <c r="I37" s="1">
        <v>24.83</v>
      </c>
      <c r="J37" s="1">
        <f t="shared" si="1"/>
        <v>0.31806827643630309</v>
      </c>
      <c r="K37" s="22">
        <f t="shared" si="2"/>
        <v>2.0691666666666664</v>
      </c>
      <c r="L37" s="9"/>
    </row>
    <row r="38" spans="2:12">
      <c r="B38" s="7"/>
      <c r="C38" s="3">
        <v>41144</v>
      </c>
      <c r="D38" s="17">
        <v>101007</v>
      </c>
      <c r="E38" s="25">
        <v>12</v>
      </c>
      <c r="F38" s="26">
        <f t="shared" si="0"/>
        <v>1.1880364727197124E-4</v>
      </c>
      <c r="G38" s="17">
        <v>0</v>
      </c>
      <c r="H38" s="29">
        <v>0</v>
      </c>
      <c r="I38" s="1">
        <v>32.270000000000003</v>
      </c>
      <c r="J38" s="1">
        <f t="shared" si="1"/>
        <v>0.31948280812220942</v>
      </c>
      <c r="K38" s="22">
        <f t="shared" si="2"/>
        <v>2.6891666666666669</v>
      </c>
      <c r="L38" s="9"/>
    </row>
    <row r="39" spans="2:12">
      <c r="B39" s="7"/>
      <c r="C39" s="3">
        <v>41145</v>
      </c>
      <c r="D39" s="17">
        <v>8</v>
      </c>
      <c r="E39" s="25">
        <v>4</v>
      </c>
      <c r="F39" s="26">
        <f t="shared" si="0"/>
        <v>0.5</v>
      </c>
      <c r="G39" s="17">
        <v>0</v>
      </c>
      <c r="H39" s="29">
        <v>0</v>
      </c>
      <c r="I39" s="1">
        <v>0</v>
      </c>
      <c r="J39" s="1">
        <f t="shared" si="1"/>
        <v>0</v>
      </c>
      <c r="K39" s="22">
        <f t="shared" si="2"/>
        <v>0</v>
      </c>
      <c r="L39" s="9"/>
    </row>
    <row r="40" spans="2:12">
      <c r="B40" s="7"/>
      <c r="C40" s="3">
        <v>41146</v>
      </c>
      <c r="D40" s="17">
        <v>3</v>
      </c>
      <c r="E40" s="25">
        <v>2</v>
      </c>
      <c r="F40" s="26">
        <f t="shared" si="0"/>
        <v>0.66666666666666663</v>
      </c>
      <c r="G40" s="17">
        <v>0</v>
      </c>
      <c r="H40" s="29">
        <v>0</v>
      </c>
      <c r="I40" s="1">
        <v>0</v>
      </c>
      <c r="J40" s="1">
        <f t="shared" si="1"/>
        <v>0</v>
      </c>
      <c r="K40" s="22">
        <f t="shared" si="2"/>
        <v>0</v>
      </c>
      <c r="L40" s="9"/>
    </row>
    <row r="41" spans="2:12">
      <c r="B41" s="7"/>
      <c r="C41" s="3">
        <v>41147</v>
      </c>
      <c r="D41" s="17">
        <v>1</v>
      </c>
      <c r="E41" s="25">
        <v>0</v>
      </c>
      <c r="F41" s="26">
        <f t="shared" si="0"/>
        <v>0</v>
      </c>
      <c r="G41" s="17">
        <v>0</v>
      </c>
      <c r="H41" s="29">
        <v>0</v>
      </c>
      <c r="I41" s="1">
        <v>0</v>
      </c>
      <c r="J41" s="1">
        <f t="shared" si="1"/>
        <v>0</v>
      </c>
      <c r="K41" s="22" t="s">
        <v>18</v>
      </c>
      <c r="L41" s="9"/>
    </row>
    <row r="42" spans="2:12">
      <c r="B42" s="7"/>
      <c r="C42" s="11" t="s">
        <v>11</v>
      </c>
      <c r="D42" s="4">
        <f>SUM(D31:D41)</f>
        <v>523036</v>
      </c>
      <c r="E42" s="27">
        <f>SUM(E31:E41)</f>
        <v>125</v>
      </c>
      <c r="F42" s="28">
        <f>E42/D42</f>
        <v>2.3898928563234652E-4</v>
      </c>
      <c r="G42" s="4">
        <f>SUM(G31:G41)</f>
        <v>0</v>
      </c>
      <c r="H42" s="5">
        <f>SUM(H31:H41)</f>
        <v>0</v>
      </c>
      <c r="I42" s="5">
        <f>SUM(I31:I41)</f>
        <v>164.83</v>
      </c>
      <c r="J42" s="5">
        <f>I42/D42*1000</f>
        <v>0.3151408316062374</v>
      </c>
      <c r="K42" s="5">
        <f>I42/E42</f>
        <v>1.31864</v>
      </c>
      <c r="L42" s="9"/>
    </row>
    <row r="43" spans="2:12">
      <c r="B43" s="7"/>
      <c r="C43" s="8"/>
      <c r="D43" s="8"/>
      <c r="E43" s="8"/>
      <c r="F43" s="8"/>
      <c r="L43" s="9"/>
    </row>
    <row r="44" spans="2:12">
      <c r="B44" s="7"/>
      <c r="C44" s="16" t="s">
        <v>15</v>
      </c>
      <c r="D44" s="20"/>
      <c r="E44" s="20"/>
      <c r="F44" s="21"/>
      <c r="G44" s="8"/>
      <c r="H44" s="8"/>
      <c r="I44" s="8"/>
      <c r="J44" s="8"/>
      <c r="K44" s="8"/>
      <c r="L44" s="9"/>
    </row>
    <row r="45" spans="2:12"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7" spans="2:12">
      <c r="B47" s="15"/>
      <c r="D47" s="16"/>
      <c r="E47" s="16"/>
      <c r="F47" s="16"/>
    </row>
    <row r="48" spans="2:12">
      <c r="B48" s="16"/>
      <c r="C48" s="16"/>
      <c r="D48" s="16"/>
      <c r="E48" s="16"/>
      <c r="F48" s="16"/>
    </row>
    <row r="49" spans="2:6">
      <c r="B49" s="16"/>
      <c r="C49" s="16"/>
      <c r="D49" s="16"/>
      <c r="E49" s="16"/>
      <c r="F49" s="16"/>
    </row>
    <row r="50" spans="2:6">
      <c r="B50" s="16"/>
      <c r="C50" s="16"/>
      <c r="D50" s="16"/>
      <c r="E50" s="16"/>
      <c r="F50" s="16"/>
    </row>
  </sheetData>
  <mergeCells count="2">
    <mergeCell ref="B2:L2"/>
    <mergeCell ref="C9:K27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50"/>
  <sheetViews>
    <sheetView tabSelected="1" workbookViewId="0">
      <selection activeCell="D7" sqref="D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0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41148</v>
      </c>
      <c r="D6" s="2">
        <v>41154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3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3" t="s">
        <v>19</v>
      </c>
      <c r="D9" s="34"/>
      <c r="E9" s="34"/>
      <c r="F9" s="34"/>
      <c r="G9" s="34"/>
      <c r="H9" s="34"/>
      <c r="I9" s="34"/>
      <c r="J9" s="34"/>
      <c r="K9" s="34"/>
      <c r="L9" s="9"/>
    </row>
    <row r="10" spans="2:12"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</row>
    <row r="11" spans="2:12">
      <c r="B11" s="7"/>
      <c r="C11" s="34"/>
      <c r="D11" s="34"/>
      <c r="E11" s="34"/>
      <c r="F11" s="34"/>
      <c r="G11" s="34"/>
      <c r="H11" s="34"/>
      <c r="I11" s="34"/>
      <c r="J11" s="34"/>
      <c r="K11" s="34"/>
      <c r="L11" s="9"/>
    </row>
    <row r="12" spans="2:12">
      <c r="B12" s="7"/>
      <c r="C12" s="34"/>
      <c r="D12" s="34"/>
      <c r="E12" s="34"/>
      <c r="F12" s="34"/>
      <c r="G12" s="34"/>
      <c r="H12" s="34"/>
      <c r="I12" s="34"/>
      <c r="J12" s="34"/>
      <c r="K12" s="34"/>
      <c r="L12" s="9"/>
    </row>
    <row r="13" spans="2:12">
      <c r="B13" s="7"/>
      <c r="C13" s="34"/>
      <c r="D13" s="34"/>
      <c r="E13" s="34"/>
      <c r="F13" s="34"/>
      <c r="G13" s="34"/>
      <c r="H13" s="34"/>
      <c r="I13" s="34"/>
      <c r="J13" s="34"/>
      <c r="K13" s="34"/>
      <c r="L13" s="9"/>
    </row>
    <row r="14" spans="2:12">
      <c r="B14" s="7"/>
      <c r="C14" s="34"/>
      <c r="D14" s="34"/>
      <c r="E14" s="34"/>
      <c r="F14" s="34"/>
      <c r="G14" s="34"/>
      <c r="H14" s="34"/>
      <c r="I14" s="34"/>
      <c r="J14" s="34"/>
      <c r="K14" s="34"/>
      <c r="L14" s="9"/>
    </row>
    <row r="15" spans="2:12">
      <c r="B15" s="7"/>
      <c r="C15" s="34"/>
      <c r="D15" s="34"/>
      <c r="E15" s="34"/>
      <c r="F15" s="34"/>
      <c r="G15" s="34"/>
      <c r="H15" s="34"/>
      <c r="I15" s="34"/>
      <c r="J15" s="34"/>
      <c r="K15" s="34"/>
      <c r="L15" s="9"/>
    </row>
    <row r="16" spans="2:12">
      <c r="B16" s="7"/>
      <c r="C16" s="34"/>
      <c r="D16" s="34"/>
      <c r="E16" s="34"/>
      <c r="F16" s="34"/>
      <c r="G16" s="34"/>
      <c r="H16" s="34"/>
      <c r="I16" s="34"/>
      <c r="J16" s="34"/>
      <c r="K16" s="34"/>
      <c r="L16" s="9"/>
    </row>
    <row r="17" spans="2:12">
      <c r="B17" s="7"/>
      <c r="C17" s="34"/>
      <c r="D17" s="34"/>
      <c r="E17" s="34"/>
      <c r="F17" s="34"/>
      <c r="G17" s="34"/>
      <c r="H17" s="34"/>
      <c r="I17" s="34"/>
      <c r="J17" s="34"/>
      <c r="K17" s="34"/>
      <c r="L17" s="9"/>
    </row>
    <row r="18" spans="2:12">
      <c r="B18" s="7"/>
      <c r="C18" s="34"/>
      <c r="D18" s="34"/>
      <c r="E18" s="34"/>
      <c r="F18" s="34"/>
      <c r="G18" s="34"/>
      <c r="H18" s="34"/>
      <c r="I18" s="34"/>
      <c r="J18" s="34"/>
      <c r="K18" s="34"/>
      <c r="L18" s="9"/>
    </row>
    <row r="19" spans="2:12">
      <c r="B19" s="7"/>
      <c r="C19" s="34"/>
      <c r="D19" s="34"/>
      <c r="E19" s="34"/>
      <c r="F19" s="34"/>
      <c r="G19" s="34"/>
      <c r="H19" s="34"/>
      <c r="I19" s="34"/>
      <c r="J19" s="34"/>
      <c r="K19" s="34"/>
      <c r="L19" s="9"/>
    </row>
    <row r="20" spans="2:12">
      <c r="B20" s="7"/>
      <c r="C20" s="34"/>
      <c r="D20" s="34"/>
      <c r="E20" s="34"/>
      <c r="F20" s="34"/>
      <c r="G20" s="34"/>
      <c r="H20" s="34"/>
      <c r="I20" s="34"/>
      <c r="J20" s="34"/>
      <c r="K20" s="34"/>
      <c r="L20" s="9"/>
    </row>
    <row r="21" spans="2:12">
      <c r="B21" s="7"/>
      <c r="C21" s="34"/>
      <c r="D21" s="34"/>
      <c r="E21" s="34"/>
      <c r="F21" s="34"/>
      <c r="G21" s="34"/>
      <c r="H21" s="34"/>
      <c r="I21" s="34"/>
      <c r="J21" s="34"/>
      <c r="K21" s="34"/>
      <c r="L21" s="9"/>
    </row>
    <row r="22" spans="2:12">
      <c r="B22" s="7"/>
      <c r="C22" s="34"/>
      <c r="D22" s="34"/>
      <c r="E22" s="34"/>
      <c r="F22" s="34"/>
      <c r="G22" s="34"/>
      <c r="H22" s="34"/>
      <c r="I22" s="34"/>
      <c r="J22" s="34"/>
      <c r="K22" s="34"/>
      <c r="L22" s="9"/>
    </row>
    <row r="23" spans="2:12">
      <c r="B23" s="7"/>
      <c r="C23" s="34"/>
      <c r="D23" s="34"/>
      <c r="E23" s="34"/>
      <c r="F23" s="34"/>
      <c r="G23" s="34"/>
      <c r="H23" s="34"/>
      <c r="I23" s="34"/>
      <c r="J23" s="34"/>
      <c r="K23" s="34"/>
      <c r="L23" s="9"/>
    </row>
    <row r="24" spans="2:12">
      <c r="B24" s="7"/>
      <c r="C24" s="34"/>
      <c r="D24" s="34"/>
      <c r="E24" s="34"/>
      <c r="F24" s="34"/>
      <c r="G24" s="34"/>
      <c r="H24" s="34"/>
      <c r="I24" s="34"/>
      <c r="J24" s="34"/>
      <c r="K24" s="34"/>
      <c r="L24" s="9"/>
    </row>
    <row r="25" spans="2:12">
      <c r="B25" s="7"/>
      <c r="C25" s="34"/>
      <c r="D25" s="34"/>
      <c r="E25" s="34"/>
      <c r="F25" s="34"/>
      <c r="G25" s="34"/>
      <c r="H25" s="34"/>
      <c r="I25" s="34"/>
      <c r="J25" s="34"/>
      <c r="K25" s="34"/>
      <c r="L25" s="9"/>
    </row>
    <row r="26" spans="2:12">
      <c r="B26" s="7"/>
      <c r="C26" s="34"/>
      <c r="D26" s="34"/>
      <c r="E26" s="34"/>
      <c r="F26" s="34"/>
      <c r="G26" s="34"/>
      <c r="H26" s="34"/>
      <c r="I26" s="34"/>
      <c r="J26" s="34"/>
      <c r="K26" s="34"/>
      <c r="L26" s="9"/>
    </row>
    <row r="27" spans="2:12">
      <c r="B27" s="7"/>
      <c r="C27" s="34"/>
      <c r="D27" s="34"/>
      <c r="E27" s="34"/>
      <c r="F27" s="34"/>
      <c r="G27" s="34"/>
      <c r="H27" s="34"/>
      <c r="I27" s="34"/>
      <c r="J27" s="34"/>
      <c r="K27" s="34"/>
      <c r="L27" s="9"/>
    </row>
    <row r="28" spans="2:12">
      <c r="B28" s="7"/>
      <c r="L28" s="9"/>
    </row>
    <row r="29" spans="2:12">
      <c r="B29" s="7"/>
      <c r="C29" s="23" t="s">
        <v>14</v>
      </c>
      <c r="D29" s="8"/>
      <c r="E29" s="8"/>
      <c r="F29" s="8"/>
      <c r="L29" s="9"/>
    </row>
    <row r="30" spans="2:12">
      <c r="B30" s="7"/>
      <c r="C30" s="19" t="s">
        <v>3</v>
      </c>
      <c r="D30" s="19" t="s">
        <v>4</v>
      </c>
      <c r="E30" s="24" t="s">
        <v>12</v>
      </c>
      <c r="F30" s="24" t="s">
        <v>5</v>
      </c>
      <c r="G30" s="18" t="s">
        <v>6</v>
      </c>
      <c r="H30" s="19" t="s">
        <v>7</v>
      </c>
      <c r="I30" s="19" t="s">
        <v>8</v>
      </c>
      <c r="J30" s="19" t="s">
        <v>9</v>
      </c>
      <c r="K30" s="19" t="s">
        <v>10</v>
      </c>
      <c r="L30" s="9"/>
    </row>
    <row r="31" spans="2:12">
      <c r="B31" s="7"/>
      <c r="C31" s="3">
        <v>41137</v>
      </c>
      <c r="D31" s="17">
        <v>77790</v>
      </c>
      <c r="E31" s="25">
        <v>26</v>
      </c>
      <c r="F31" s="26">
        <f t="shared" ref="F31:F41" si="0">E31/D31</f>
        <v>3.342331919269829E-4</v>
      </c>
      <c r="G31" s="17">
        <v>0</v>
      </c>
      <c r="H31" s="29">
        <v>0</v>
      </c>
      <c r="I31" s="1">
        <v>22.36</v>
      </c>
      <c r="J31" s="1">
        <f t="shared" ref="J31:J41" si="1">I31/D31*1000</f>
        <v>0.28744054505720529</v>
      </c>
      <c r="K31" s="22" t="s">
        <v>17</v>
      </c>
      <c r="L31" s="9"/>
    </row>
    <row r="32" spans="2:12">
      <c r="B32" s="7"/>
      <c r="C32" s="3">
        <v>41138</v>
      </c>
      <c r="D32" s="17">
        <v>25696</v>
      </c>
      <c r="E32" s="25">
        <v>14</v>
      </c>
      <c r="F32" s="26">
        <f t="shared" si="0"/>
        <v>5.4483188044831881E-4</v>
      </c>
      <c r="G32" s="17">
        <v>0</v>
      </c>
      <c r="H32" s="29">
        <v>0</v>
      </c>
      <c r="I32" s="1">
        <v>20.6</v>
      </c>
      <c r="J32" s="1">
        <f t="shared" si="1"/>
        <v>0.80168119551681194</v>
      </c>
      <c r="K32" s="22">
        <f t="shared" ref="K32:K40" si="2">I32/E32</f>
        <v>1.4714285714285715</v>
      </c>
      <c r="L32" s="9"/>
    </row>
    <row r="33" spans="2:12">
      <c r="B33" s="7"/>
      <c r="C33" s="3">
        <v>41139</v>
      </c>
      <c r="D33" s="17">
        <v>74692</v>
      </c>
      <c r="E33" s="25">
        <v>22</v>
      </c>
      <c r="F33" s="26">
        <f t="shared" si="0"/>
        <v>2.9454292293686068E-4</v>
      </c>
      <c r="G33" s="17">
        <v>0</v>
      </c>
      <c r="H33" s="29">
        <v>0</v>
      </c>
      <c r="I33" s="1">
        <v>21.68</v>
      </c>
      <c r="J33" s="1">
        <f t="shared" si="1"/>
        <v>0.29025866223959723</v>
      </c>
      <c r="K33" s="22">
        <f t="shared" si="2"/>
        <v>0.98545454545454547</v>
      </c>
      <c r="L33" s="9"/>
    </row>
    <row r="34" spans="2:12">
      <c r="B34" s="7"/>
      <c r="C34" s="3">
        <v>41140</v>
      </c>
      <c r="D34" s="17">
        <v>76754</v>
      </c>
      <c r="E34" s="25">
        <v>17</v>
      </c>
      <c r="F34" s="26">
        <f t="shared" si="0"/>
        <v>2.214868280480496E-4</v>
      </c>
      <c r="G34" s="17">
        <v>0</v>
      </c>
      <c r="H34" s="29">
        <v>0</v>
      </c>
      <c r="I34" s="1">
        <v>21.66</v>
      </c>
      <c r="J34" s="1">
        <f t="shared" si="1"/>
        <v>0.28220027620710325</v>
      </c>
      <c r="K34" s="22">
        <f t="shared" si="2"/>
        <v>1.2741176470588236</v>
      </c>
      <c r="L34" s="9"/>
    </row>
    <row r="35" spans="2:12">
      <c r="B35" s="7"/>
      <c r="C35" s="3">
        <v>41141</v>
      </c>
      <c r="D35" s="17">
        <v>54233</v>
      </c>
      <c r="E35" s="25">
        <v>13</v>
      </c>
      <c r="F35" s="26">
        <f t="shared" si="0"/>
        <v>2.3970645179134474E-4</v>
      </c>
      <c r="G35" s="17">
        <v>0</v>
      </c>
      <c r="H35" s="29">
        <v>0</v>
      </c>
      <c r="I35" s="1">
        <v>12.11</v>
      </c>
      <c r="J35" s="1">
        <f t="shared" si="1"/>
        <v>0.22329577932255268</v>
      </c>
      <c r="K35" s="22">
        <f t="shared" si="2"/>
        <v>0.93153846153846154</v>
      </c>
      <c r="L35" s="9"/>
    </row>
    <row r="36" spans="2:12">
      <c r="B36" s="7"/>
      <c r="C36" s="3">
        <v>41142</v>
      </c>
      <c r="D36" s="17">
        <v>34787</v>
      </c>
      <c r="E36" s="25">
        <v>3</v>
      </c>
      <c r="F36" s="26">
        <f t="shared" si="0"/>
        <v>8.6239112312070599E-5</v>
      </c>
      <c r="G36" s="17">
        <v>0</v>
      </c>
      <c r="H36" s="29">
        <v>0</v>
      </c>
      <c r="I36" s="1">
        <v>9.32</v>
      </c>
      <c r="J36" s="1">
        <f t="shared" si="1"/>
        <v>0.26791617558283265</v>
      </c>
      <c r="K36" s="22">
        <f t="shared" si="2"/>
        <v>3.1066666666666669</v>
      </c>
      <c r="L36" s="9"/>
    </row>
    <row r="37" spans="2:12">
      <c r="B37" s="7"/>
      <c r="C37" s="3">
        <v>41143</v>
      </c>
      <c r="D37" s="17">
        <v>78065</v>
      </c>
      <c r="E37" s="25">
        <v>12</v>
      </c>
      <c r="F37" s="26">
        <f t="shared" si="0"/>
        <v>1.5371805546659834E-4</v>
      </c>
      <c r="G37" s="17">
        <v>0</v>
      </c>
      <c r="H37" s="29">
        <v>0</v>
      </c>
      <c r="I37" s="1">
        <v>24.83</v>
      </c>
      <c r="J37" s="1">
        <f t="shared" si="1"/>
        <v>0.31806827643630309</v>
      </c>
      <c r="K37" s="22">
        <f t="shared" si="2"/>
        <v>2.0691666666666664</v>
      </c>
      <c r="L37" s="9"/>
    </row>
    <row r="38" spans="2:12">
      <c r="B38" s="7"/>
      <c r="C38" s="3">
        <v>41144</v>
      </c>
      <c r="D38" s="17">
        <v>101007</v>
      </c>
      <c r="E38" s="25">
        <v>12</v>
      </c>
      <c r="F38" s="26">
        <f t="shared" si="0"/>
        <v>1.1880364727197124E-4</v>
      </c>
      <c r="G38" s="17">
        <v>0</v>
      </c>
      <c r="H38" s="29">
        <v>0</v>
      </c>
      <c r="I38" s="1">
        <v>32.270000000000003</v>
      </c>
      <c r="J38" s="1">
        <f t="shared" si="1"/>
        <v>0.31948280812220942</v>
      </c>
      <c r="K38" s="22">
        <f t="shared" si="2"/>
        <v>2.6891666666666669</v>
      </c>
      <c r="L38" s="9"/>
    </row>
    <row r="39" spans="2:12">
      <c r="B39" s="7"/>
      <c r="C39" s="3">
        <v>41145</v>
      </c>
      <c r="D39" s="17">
        <v>8</v>
      </c>
      <c r="E39" s="25">
        <v>4</v>
      </c>
      <c r="F39" s="26">
        <f t="shared" si="0"/>
        <v>0.5</v>
      </c>
      <c r="G39" s="17">
        <v>0</v>
      </c>
      <c r="H39" s="29">
        <v>0</v>
      </c>
      <c r="I39" s="1">
        <v>0</v>
      </c>
      <c r="J39" s="1">
        <f t="shared" si="1"/>
        <v>0</v>
      </c>
      <c r="K39" s="22">
        <f t="shared" si="2"/>
        <v>0</v>
      </c>
      <c r="L39" s="9"/>
    </row>
    <row r="40" spans="2:12">
      <c r="B40" s="7"/>
      <c r="C40" s="3">
        <v>41146</v>
      </c>
      <c r="D40" s="17">
        <v>3</v>
      </c>
      <c r="E40" s="25">
        <v>2</v>
      </c>
      <c r="F40" s="26">
        <f t="shared" si="0"/>
        <v>0.66666666666666663</v>
      </c>
      <c r="G40" s="17">
        <v>0</v>
      </c>
      <c r="H40" s="29">
        <v>0</v>
      </c>
      <c r="I40" s="1">
        <v>0</v>
      </c>
      <c r="J40" s="1">
        <f t="shared" si="1"/>
        <v>0</v>
      </c>
      <c r="K40" s="22">
        <f t="shared" si="2"/>
        <v>0</v>
      </c>
      <c r="L40" s="9"/>
    </row>
    <row r="41" spans="2:12">
      <c r="B41" s="7"/>
      <c r="C41" s="3">
        <v>41147</v>
      </c>
      <c r="D41" s="17">
        <v>1</v>
      </c>
      <c r="E41" s="25">
        <v>0</v>
      </c>
      <c r="F41" s="26">
        <f t="shared" si="0"/>
        <v>0</v>
      </c>
      <c r="G41" s="17">
        <v>0</v>
      </c>
      <c r="H41" s="29">
        <v>0</v>
      </c>
      <c r="I41" s="1">
        <v>0</v>
      </c>
      <c r="J41" s="1">
        <f t="shared" si="1"/>
        <v>0</v>
      </c>
      <c r="K41" s="22" t="s">
        <v>18</v>
      </c>
      <c r="L41" s="9"/>
    </row>
    <row r="42" spans="2:12">
      <c r="B42" s="7"/>
      <c r="C42" s="11" t="s">
        <v>11</v>
      </c>
      <c r="D42" s="4">
        <f>SUM(D31:D41)</f>
        <v>523036</v>
      </c>
      <c r="E42" s="27">
        <f>SUM(E31:E41)</f>
        <v>125</v>
      </c>
      <c r="F42" s="28">
        <f>E42/D42</f>
        <v>2.3898928563234652E-4</v>
      </c>
      <c r="G42" s="4">
        <f>SUM(G31:G41)</f>
        <v>0</v>
      </c>
      <c r="H42" s="5">
        <f>SUM(H31:H41)</f>
        <v>0</v>
      </c>
      <c r="I42" s="5">
        <f>SUM(I31:I41)</f>
        <v>164.83</v>
      </c>
      <c r="J42" s="5">
        <f>I42/D42*1000</f>
        <v>0.3151408316062374</v>
      </c>
      <c r="K42" s="5">
        <f>I42/E42</f>
        <v>1.31864</v>
      </c>
      <c r="L42" s="9"/>
    </row>
    <row r="43" spans="2:12">
      <c r="B43" s="7"/>
      <c r="C43" s="8"/>
      <c r="D43" s="8"/>
      <c r="E43" s="8"/>
      <c r="F43" s="8"/>
      <c r="L43" s="9"/>
    </row>
    <row r="44" spans="2:12">
      <c r="B44" s="7"/>
      <c r="C44" s="16" t="s">
        <v>15</v>
      </c>
      <c r="D44" s="20"/>
      <c r="E44" s="20"/>
      <c r="F44" s="21"/>
      <c r="G44" s="8"/>
      <c r="H44" s="8"/>
      <c r="I44" s="8"/>
      <c r="J44" s="8"/>
      <c r="K44" s="8"/>
      <c r="L44" s="9"/>
    </row>
    <row r="45" spans="2:12"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7" spans="2:12">
      <c r="B47" s="15"/>
      <c r="D47" s="16"/>
      <c r="E47" s="16"/>
      <c r="F47" s="16"/>
    </row>
    <row r="48" spans="2:12">
      <c r="B48" s="16"/>
      <c r="C48" s="16"/>
      <c r="D48" s="16"/>
      <c r="E48" s="16"/>
      <c r="F48" s="16"/>
    </row>
    <row r="49" spans="2:6">
      <c r="B49" s="16"/>
      <c r="C49" s="16"/>
      <c r="D49" s="16"/>
      <c r="E49" s="16"/>
      <c r="F49" s="16"/>
    </row>
    <row r="50" spans="2:6">
      <c r="B50" s="16"/>
      <c r="C50" s="16"/>
      <c r="D50" s="16"/>
      <c r="E50" s="16"/>
      <c r="F50" s="16"/>
    </row>
  </sheetData>
  <mergeCells count="2">
    <mergeCell ref="B2:L2"/>
    <mergeCell ref="C9:K27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第一周（8-16～8-26）</vt:lpstr>
      <vt:lpstr>第二周（8-27～9-2）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2012-09-03T10:41:17Z</dcterms:modified>
</cp:coreProperties>
</file>