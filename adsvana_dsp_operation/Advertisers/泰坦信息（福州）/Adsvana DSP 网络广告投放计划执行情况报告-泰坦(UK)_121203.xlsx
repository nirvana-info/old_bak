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/>
  </bookViews>
  <sheets>
    <sheet name="第一周（11-23～12-02)" sheetId="25" r:id="rId1"/>
    <sheet name="Sheet2" sheetId="17" r:id="rId2"/>
  </sheets>
  <calcPr calcId="125725"/>
</workbook>
</file>

<file path=xl/calcChain.xml><?xml version="1.0" encoding="utf-8"?>
<calcChain xmlns="http://schemas.openxmlformats.org/spreadsheetml/2006/main">
  <c r="F22" i="25"/>
  <c r="F23"/>
  <c r="F24"/>
  <c r="F25"/>
  <c r="F26"/>
  <c r="F27"/>
  <c r="F28"/>
  <c r="F29"/>
  <c r="F21"/>
  <c r="I31" l="1"/>
  <c r="H31"/>
  <c r="G31"/>
  <c r="E31"/>
  <c r="D31"/>
  <c r="K29"/>
  <c r="J29"/>
  <c r="K28"/>
  <c r="J28"/>
  <c r="K27"/>
  <c r="J27"/>
  <c r="K26"/>
  <c r="J26"/>
  <c r="K25"/>
  <c r="J25"/>
  <c r="K24"/>
  <c r="J24"/>
  <c r="J31" l="1"/>
  <c r="F31"/>
  <c r="K31"/>
</calcChain>
</file>

<file path=xl/sharedStrings.xml><?xml version="1.0" encoding="utf-8"?>
<sst xmlns="http://schemas.openxmlformats.org/spreadsheetml/2006/main" count="19" uniqueCount="19">
  <si>
    <r>
      <rPr>
        <b/>
        <sz val="10"/>
        <color theme="1"/>
        <rFont val="宋体"/>
        <family val="3"/>
        <charset val="134"/>
      </rPr>
      <t>执行时间</t>
    </r>
    <phoneticPr fontId="2" type="noConversion"/>
  </si>
  <si>
    <r>
      <rPr>
        <b/>
        <sz val="10"/>
        <color theme="0"/>
        <rFont val="宋体"/>
        <family val="3"/>
        <charset val="134"/>
      </rPr>
      <t>开始日期</t>
    </r>
    <phoneticPr fontId="2" type="noConversion"/>
  </si>
  <si>
    <r>
      <rPr>
        <b/>
        <sz val="10"/>
        <color theme="0"/>
        <rFont val="宋体"/>
        <family val="3"/>
        <charset val="134"/>
      </rPr>
      <t>结束日期</t>
    </r>
    <phoneticPr fontId="2" type="noConversion"/>
  </si>
  <si>
    <t>阶段小结</t>
    <phoneticPr fontId="2" type="noConversion"/>
  </si>
  <si>
    <t>每日数据概览</t>
    <phoneticPr fontId="2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</si>
  <si>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</si>
  <si>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</si>
  <si>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</si>
  <si>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</si>
  <si>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</si>
  <si>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</si>
  <si>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</si>
  <si>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</si>
  <si>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</si>
  <si>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</si>
  <si>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</si>
  <si>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2"/>
        <color theme="0"/>
        <rFont val="宋体"/>
        <family val="3"/>
        <charset val="134"/>
      </rPr>
      <t>泰坦信息（UK）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1" type="noConversion"/>
  </si>
  <si>
    <r>
      <rPr>
        <b/>
        <sz val="10"/>
        <color theme="1"/>
        <rFont val="宋体"/>
        <family val="3"/>
        <charset val="134"/>
      </rPr>
      <t xml:space="preserve">本周总结：
</t>
    </r>
    <r>
      <rPr>
        <sz val="10"/>
        <color theme="1"/>
        <rFont val="宋体"/>
        <family val="3"/>
        <charset val="134"/>
      </rPr>
      <t>上周的主要执行策略：
1.用较少的预算进行预设场景的测试投放；
2.尝试不同的创意；
3.反作弊算法设定，防止不良网站的作弊行为；
4.根据测试投放发现符合此活动要求的英国人群数据极少，和庄总讨论后在这一现象没改观之前将重心放于美国市场，周末暂停了英国的投放；</t>
    </r>
    <r>
      <rPr>
        <b/>
        <sz val="10"/>
        <color theme="1"/>
        <rFont val="宋体"/>
        <family val="3"/>
        <charset val="134"/>
      </rPr>
      <t xml:space="preserve">
下周策略：
</t>
    </r>
    <r>
      <rPr>
        <sz val="10"/>
        <color theme="1"/>
        <rFont val="宋体"/>
        <family val="3"/>
        <charset val="134"/>
      </rPr>
      <t>1.观察市场数据，符合条件后再进行后续投放。</t>
    </r>
    <phoneticPr fontId="25" type="noConversion"/>
  </si>
  <si>
    <t>-</t>
    <phoneticPr fontId="25" type="noConversion"/>
  </si>
</sst>
</file>

<file path=xl/styles.xml><?xml version="1.0" encoding="utf-8"?>
<styleSheet xmlns="http://schemas.openxmlformats.org/spreadsheetml/2006/main">
  <numFmts count="3">
    <numFmt numFmtId="26" formatCode="\$#,##0.00_);[Red]\(\$#,##0.00\)"/>
    <numFmt numFmtId="176" formatCode="_(* #,##0.00_);_(* \(#,##0.00\);_(* &quot;-&quot;??_);_(@_)"/>
    <numFmt numFmtId="177" formatCode="_(* #,##0_);_(* \(#,##0\);_(* &quot;-&quot;??_);_(@_)"/>
  </numFmts>
  <fonts count="32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7" borderId="3" applyNumberFormat="0" applyAlignment="0" applyProtection="0">
      <alignment vertical="center"/>
    </xf>
    <xf numFmtId="0" fontId="7" fillId="28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0" borderId="3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" fillId="32" borderId="9" applyNumberFormat="0" applyFont="0" applyAlignment="0" applyProtection="0">
      <alignment vertical="center"/>
    </xf>
    <xf numFmtId="0" fontId="16" fillId="27" borderId="10" applyNumberForma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26" fontId="20" fillId="35" borderId="1" xfId="0" applyNumberFormat="1" applyFont="1" applyFill="1" applyBorder="1" applyAlignment="1"/>
    <xf numFmtId="14" fontId="20" fillId="34" borderId="1" xfId="0" applyNumberFormat="1" applyFont="1" applyFill="1" applyBorder="1">
      <alignment vertical="center"/>
    </xf>
    <xf numFmtId="14" fontId="20" fillId="0" borderId="1" xfId="0" applyNumberFormat="1" applyFont="1" applyBorder="1" applyAlignment="1">
      <alignment horizontal="left" vertical="center"/>
    </xf>
    <xf numFmtId="3" fontId="20" fillId="37" borderId="1" xfId="0" applyNumberFormat="1" applyFont="1" applyFill="1" applyBorder="1" applyAlignment="1"/>
    <xf numFmtId="26" fontId="20" fillId="37" borderId="1" xfId="0" applyNumberFormat="1" applyFont="1" applyFill="1" applyBorder="1" applyAlignment="1"/>
    <xf numFmtId="0" fontId="26" fillId="34" borderId="0" xfId="0" applyFont="1" applyFill="1">
      <alignment vertical="center"/>
    </xf>
    <xf numFmtId="0" fontId="26" fillId="34" borderId="16" xfId="0" applyFont="1" applyFill="1" applyBorder="1">
      <alignment vertical="center"/>
    </xf>
    <xf numFmtId="0" fontId="26" fillId="34" borderId="0" xfId="0" applyFont="1" applyFill="1" applyBorder="1">
      <alignment vertical="center"/>
    </xf>
    <xf numFmtId="0" fontId="26" fillId="34" borderId="17" xfId="0" applyFont="1" applyFill="1" applyBorder="1">
      <alignment vertical="center"/>
    </xf>
    <xf numFmtId="0" fontId="27" fillId="36" borderId="0" xfId="0" applyFont="1" applyFill="1" applyBorder="1" applyAlignment="1">
      <alignment horizontal="left" vertical="center"/>
    </xf>
    <xf numFmtId="0" fontId="20" fillId="37" borderId="1" xfId="0" applyFont="1" applyFill="1" applyBorder="1" applyAlignment="1">
      <alignment horizontal="right" vertical="center"/>
    </xf>
    <xf numFmtId="0" fontId="26" fillId="34" borderId="18" xfId="0" applyFont="1" applyFill="1" applyBorder="1">
      <alignment vertical="center"/>
    </xf>
    <xf numFmtId="0" fontId="26" fillId="34" borderId="12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34" borderId="0" xfId="0" applyFont="1" applyFill="1" applyAlignment="1">
      <alignment vertical="top" wrapText="1"/>
    </xf>
    <xf numFmtId="0" fontId="26" fillId="34" borderId="0" xfId="0" applyFont="1" applyFill="1" applyAlignment="1">
      <alignment vertical="center"/>
    </xf>
    <xf numFmtId="3" fontId="20" fillId="0" borderId="1" xfId="0" applyNumberFormat="1" applyFont="1" applyBorder="1" applyAlignment="1">
      <alignment horizontal="right"/>
    </xf>
    <xf numFmtId="0" fontId="21" fillId="33" borderId="1" xfId="0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/>
    </xf>
    <xf numFmtId="177" fontId="20" fillId="34" borderId="0" xfId="43" applyNumberFormat="1" applyFont="1" applyFill="1" applyBorder="1" applyAlignment="1">
      <alignment vertical="center"/>
    </xf>
    <xf numFmtId="0" fontId="28" fillId="36" borderId="0" xfId="0" applyFont="1" applyFill="1" applyBorder="1">
      <alignment vertical="center"/>
    </xf>
    <xf numFmtId="3" fontId="20" fillId="0" borderId="2" xfId="0" applyNumberFormat="1" applyFont="1" applyBorder="1" applyAlignment="1">
      <alignment horizontal="right"/>
    </xf>
    <xf numFmtId="26" fontId="20" fillId="34" borderId="1" xfId="0" applyNumberFormat="1" applyFont="1" applyFill="1" applyBorder="1" applyAlignment="1"/>
    <xf numFmtId="10" fontId="20" fillId="34" borderId="2" xfId="39" applyNumberFormat="1" applyFont="1" applyFill="1" applyBorder="1" applyAlignment="1">
      <alignment horizontal="right"/>
    </xf>
    <xf numFmtId="3" fontId="20" fillId="37" borderId="1" xfId="0" applyNumberFormat="1" applyFont="1" applyFill="1" applyBorder="1" applyAlignment="1">
      <alignment horizontal="right"/>
    </xf>
    <xf numFmtId="0" fontId="26" fillId="34" borderId="0" xfId="0" applyFont="1" applyFill="1" applyBorder="1" applyAlignment="1">
      <alignment vertical="center"/>
    </xf>
    <xf numFmtId="10" fontId="20" fillId="37" borderId="1" xfId="44" applyNumberFormat="1" applyFont="1" applyFill="1" applyBorder="1" applyAlignment="1">
      <alignment horizontal="right"/>
    </xf>
    <xf numFmtId="0" fontId="26" fillId="33" borderId="15" xfId="0" applyFont="1" applyFill="1" applyBorder="1">
      <alignment vertical="center"/>
    </xf>
    <xf numFmtId="0" fontId="23" fillId="33" borderId="13" xfId="0" applyFont="1" applyFill="1" applyBorder="1" applyAlignment="1">
      <alignment horizontal="center" vertical="center"/>
    </xf>
    <xf numFmtId="0" fontId="23" fillId="33" borderId="14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left" vertical="center" wrapText="1"/>
    </xf>
    <xf numFmtId="0" fontId="22" fillId="34" borderId="14" xfId="0" applyFont="1" applyFill="1" applyBorder="1" applyAlignment="1">
      <alignment horizontal="left" vertical="center" wrapText="1"/>
    </xf>
    <xf numFmtId="0" fontId="22" fillId="34" borderId="15" xfId="0" applyFont="1" applyFill="1" applyBorder="1" applyAlignment="1">
      <alignment horizontal="left" vertical="center" wrapText="1"/>
    </xf>
    <xf numFmtId="0" fontId="22" fillId="34" borderId="16" xfId="0" applyFont="1" applyFill="1" applyBorder="1" applyAlignment="1">
      <alignment horizontal="left" vertical="center" wrapText="1"/>
    </xf>
    <xf numFmtId="0" fontId="22" fillId="34" borderId="0" xfId="0" applyFont="1" applyFill="1" applyBorder="1" applyAlignment="1">
      <alignment horizontal="left" vertical="center" wrapText="1"/>
    </xf>
    <xf numFmtId="0" fontId="22" fillId="34" borderId="17" xfId="0" applyFont="1" applyFill="1" applyBorder="1" applyAlignment="1">
      <alignment horizontal="left" vertical="center" wrapText="1"/>
    </xf>
    <xf numFmtId="0" fontId="22" fillId="34" borderId="18" xfId="0" applyFont="1" applyFill="1" applyBorder="1" applyAlignment="1">
      <alignment horizontal="left" vertical="center" wrapText="1"/>
    </xf>
    <xf numFmtId="0" fontId="22" fillId="34" borderId="12" xfId="0" applyFont="1" applyFill="1" applyBorder="1" applyAlignment="1">
      <alignment horizontal="left" vertical="center" wrapText="1"/>
    </xf>
    <xf numFmtId="0" fontId="22" fillId="34" borderId="19" xfId="0" applyFont="1" applyFill="1" applyBorder="1" applyAlignment="1">
      <alignment horizontal="left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Percent 2" xfId="44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39"/>
  <sheetViews>
    <sheetView tabSelected="1" workbookViewId="0">
      <selection activeCell="H6" sqref="H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5" style="6" customWidth="1"/>
    <col min="7" max="7" width="12.375" style="6" customWidth="1"/>
    <col min="8" max="8" width="14.375" style="6" bestFit="1" customWidth="1"/>
    <col min="9" max="10" width="12.625" style="6" customWidth="1"/>
    <col min="11" max="11" width="13.875" style="6" customWidth="1"/>
    <col min="12" max="12" width="5.625" style="6" customWidth="1"/>
    <col min="13" max="16384" width="9" style="6"/>
  </cols>
  <sheetData>
    <row r="2" spans="2:12" ht="15.75">
      <c r="B2" s="29" t="s">
        <v>16</v>
      </c>
      <c r="C2" s="30"/>
      <c r="D2" s="30"/>
      <c r="E2" s="30"/>
      <c r="F2" s="30"/>
      <c r="G2" s="30"/>
      <c r="H2" s="30"/>
      <c r="I2" s="30"/>
      <c r="J2" s="30"/>
      <c r="K2" s="30"/>
      <c r="L2" s="28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D4" s="8"/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41236</v>
      </c>
      <c r="D6" s="2">
        <v>41245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1" t="s">
        <v>3</v>
      </c>
      <c r="D8" s="8"/>
      <c r="E8" s="8"/>
      <c r="F8" s="8"/>
      <c r="G8" s="8"/>
      <c r="H8" s="8"/>
      <c r="I8" s="8"/>
      <c r="J8" s="8"/>
      <c r="K8" s="8"/>
      <c r="L8" s="9"/>
    </row>
    <row r="9" spans="2:12" ht="13.5" customHeight="1">
      <c r="B9" s="7"/>
      <c r="C9" s="31" t="s">
        <v>17</v>
      </c>
      <c r="D9" s="32"/>
      <c r="E9" s="32"/>
      <c r="F9" s="32"/>
      <c r="G9" s="32"/>
      <c r="H9" s="32"/>
      <c r="I9" s="32"/>
      <c r="J9" s="32"/>
      <c r="K9" s="33"/>
      <c r="L9" s="9"/>
    </row>
    <row r="10" spans="2:12">
      <c r="B10" s="7"/>
      <c r="C10" s="34"/>
      <c r="D10" s="35"/>
      <c r="E10" s="35"/>
      <c r="F10" s="35"/>
      <c r="G10" s="35"/>
      <c r="H10" s="35"/>
      <c r="I10" s="35"/>
      <c r="J10" s="35"/>
      <c r="K10" s="36"/>
      <c r="L10" s="9"/>
    </row>
    <row r="11" spans="2:12">
      <c r="B11" s="7"/>
      <c r="C11" s="34"/>
      <c r="D11" s="35"/>
      <c r="E11" s="35"/>
      <c r="F11" s="35"/>
      <c r="G11" s="35"/>
      <c r="H11" s="35"/>
      <c r="I11" s="35"/>
      <c r="J11" s="35"/>
      <c r="K11" s="36"/>
      <c r="L11" s="9"/>
    </row>
    <row r="12" spans="2:12">
      <c r="B12" s="7"/>
      <c r="C12" s="34"/>
      <c r="D12" s="35"/>
      <c r="E12" s="35"/>
      <c r="F12" s="35"/>
      <c r="G12" s="35"/>
      <c r="H12" s="35"/>
      <c r="I12" s="35"/>
      <c r="J12" s="35"/>
      <c r="K12" s="36"/>
      <c r="L12" s="9"/>
    </row>
    <row r="13" spans="2:12">
      <c r="B13" s="7"/>
      <c r="C13" s="34"/>
      <c r="D13" s="35"/>
      <c r="E13" s="35"/>
      <c r="F13" s="35"/>
      <c r="G13" s="35"/>
      <c r="H13" s="35"/>
      <c r="I13" s="35"/>
      <c r="J13" s="35"/>
      <c r="K13" s="36"/>
      <c r="L13" s="9"/>
    </row>
    <row r="14" spans="2:12">
      <c r="B14" s="7"/>
      <c r="C14" s="34"/>
      <c r="D14" s="35"/>
      <c r="E14" s="35"/>
      <c r="F14" s="35"/>
      <c r="G14" s="35"/>
      <c r="H14" s="35"/>
      <c r="I14" s="35"/>
      <c r="J14" s="35"/>
      <c r="K14" s="36"/>
      <c r="L14" s="9"/>
    </row>
    <row r="15" spans="2:12">
      <c r="B15" s="7"/>
      <c r="C15" s="34"/>
      <c r="D15" s="35"/>
      <c r="E15" s="35"/>
      <c r="F15" s="35"/>
      <c r="G15" s="35"/>
      <c r="H15" s="35"/>
      <c r="I15" s="35"/>
      <c r="J15" s="35"/>
      <c r="K15" s="36"/>
      <c r="L15" s="9"/>
    </row>
    <row r="16" spans="2:12">
      <c r="B16" s="7"/>
      <c r="C16" s="34"/>
      <c r="D16" s="35"/>
      <c r="E16" s="35"/>
      <c r="F16" s="35"/>
      <c r="G16" s="35"/>
      <c r="H16" s="35"/>
      <c r="I16" s="35"/>
      <c r="J16" s="35"/>
      <c r="K16" s="36"/>
      <c r="L16" s="9"/>
    </row>
    <row r="17" spans="2:12">
      <c r="B17" s="7"/>
      <c r="C17" s="37"/>
      <c r="D17" s="38"/>
      <c r="E17" s="38"/>
      <c r="F17" s="38"/>
      <c r="G17" s="38"/>
      <c r="H17" s="38"/>
      <c r="I17" s="38"/>
      <c r="J17" s="38"/>
      <c r="K17" s="39"/>
      <c r="L17" s="9"/>
    </row>
    <row r="18" spans="2:12">
      <c r="B18" s="7"/>
      <c r="C18" s="8"/>
      <c r="D18" s="8"/>
      <c r="E18" s="8"/>
      <c r="F18" s="8"/>
      <c r="G18" s="8"/>
      <c r="H18" s="8"/>
      <c r="I18" s="8"/>
      <c r="J18" s="8"/>
      <c r="K18" s="8"/>
      <c r="L18" s="9"/>
    </row>
    <row r="19" spans="2:12">
      <c r="B19" s="7"/>
      <c r="C19" s="21" t="s">
        <v>4</v>
      </c>
      <c r="D19" s="8"/>
      <c r="E19" s="8"/>
      <c r="F19" s="8"/>
      <c r="G19" s="8"/>
      <c r="H19" s="8"/>
      <c r="I19" s="8"/>
      <c r="J19" s="8"/>
      <c r="K19" s="8"/>
      <c r="L19" s="9"/>
    </row>
    <row r="20" spans="2:12">
      <c r="B20" s="7"/>
      <c r="C20" s="19" t="s">
        <v>6</v>
      </c>
      <c r="D20" s="19" t="s">
        <v>7</v>
      </c>
      <c r="E20" s="18" t="s">
        <v>8</v>
      </c>
      <c r="F20" s="18" t="s">
        <v>9</v>
      </c>
      <c r="G20" s="18" t="s">
        <v>10</v>
      </c>
      <c r="H20" s="19" t="s">
        <v>11</v>
      </c>
      <c r="I20" s="19" t="s">
        <v>12</v>
      </c>
      <c r="J20" s="19" t="s">
        <v>13</v>
      </c>
      <c r="K20" s="19" t="s">
        <v>14</v>
      </c>
      <c r="L20" s="9"/>
    </row>
    <row r="21" spans="2:12">
      <c r="B21" s="7"/>
      <c r="C21" s="3">
        <v>41236</v>
      </c>
      <c r="D21" s="17">
        <v>297</v>
      </c>
      <c r="E21" s="22">
        <v>0</v>
      </c>
      <c r="F21" s="24">
        <f t="shared" ref="F21:F30" si="0">E21/D21</f>
        <v>0</v>
      </c>
      <c r="G21" s="17">
        <v>0</v>
      </c>
      <c r="H21" s="23">
        <v>0</v>
      </c>
      <c r="I21" s="1">
        <v>0.13</v>
      </c>
      <c r="J21" s="1">
        <v>0.65</v>
      </c>
      <c r="K21" s="1">
        <v>0.37</v>
      </c>
      <c r="L21" s="9"/>
    </row>
    <row r="22" spans="2:12">
      <c r="B22" s="7"/>
      <c r="C22" s="3">
        <v>41237</v>
      </c>
      <c r="D22" s="17">
        <v>22640</v>
      </c>
      <c r="E22" s="22">
        <v>5</v>
      </c>
      <c r="F22" s="24">
        <f t="shared" si="0"/>
        <v>2.2084805653710247E-4</v>
      </c>
      <c r="G22" s="17">
        <v>0</v>
      </c>
      <c r="H22" s="23">
        <v>0</v>
      </c>
      <c r="I22" s="1">
        <v>7.71</v>
      </c>
      <c r="J22" s="1">
        <v>0.64</v>
      </c>
      <c r="K22" s="1">
        <v>0.26</v>
      </c>
      <c r="L22" s="9"/>
    </row>
    <row r="23" spans="2:12">
      <c r="B23" s="7"/>
      <c r="C23" s="3">
        <v>41238</v>
      </c>
      <c r="D23" s="17">
        <v>18775</v>
      </c>
      <c r="E23" s="22">
        <v>10</v>
      </c>
      <c r="F23" s="24">
        <f t="shared" si="0"/>
        <v>5.3262316910785616E-4</v>
      </c>
      <c r="G23" s="17">
        <v>0</v>
      </c>
      <c r="H23" s="23">
        <v>0</v>
      </c>
      <c r="I23" s="1">
        <v>6.73</v>
      </c>
      <c r="J23" s="1">
        <v>0.62</v>
      </c>
      <c r="K23" s="1">
        <v>0.28000000000000003</v>
      </c>
      <c r="L23" s="9"/>
    </row>
    <row r="24" spans="2:12">
      <c r="B24" s="7"/>
      <c r="C24" s="3">
        <v>41239</v>
      </c>
      <c r="D24" s="17">
        <v>21477</v>
      </c>
      <c r="E24" s="17">
        <v>10</v>
      </c>
      <c r="F24" s="24">
        <f t="shared" si="0"/>
        <v>4.6561437817199794E-4</v>
      </c>
      <c r="G24" s="17">
        <v>0</v>
      </c>
      <c r="H24" s="23">
        <v>0</v>
      </c>
      <c r="I24" s="1">
        <v>7.74</v>
      </c>
      <c r="J24" s="1">
        <f t="shared" ref="J24:J29" si="1">I24/D24*1000</f>
        <v>0.36038552870512641</v>
      </c>
      <c r="K24" s="1">
        <f t="shared" ref="K24:K29" si="2">I24/E24</f>
        <v>0.77400000000000002</v>
      </c>
      <c r="L24" s="9"/>
    </row>
    <row r="25" spans="2:12">
      <c r="B25" s="7"/>
      <c r="C25" s="3">
        <v>41240</v>
      </c>
      <c r="D25" s="17">
        <v>42642</v>
      </c>
      <c r="E25" s="17">
        <v>13</v>
      </c>
      <c r="F25" s="24">
        <f t="shared" si="0"/>
        <v>3.0486374935509593E-4</v>
      </c>
      <c r="G25" s="17">
        <v>0</v>
      </c>
      <c r="H25" s="23">
        <v>0</v>
      </c>
      <c r="I25" s="1">
        <v>15.62</v>
      </c>
      <c r="J25" s="1">
        <f t="shared" si="1"/>
        <v>0.36630552037896907</v>
      </c>
      <c r="K25" s="1">
        <f t="shared" si="2"/>
        <v>1.2015384615384614</v>
      </c>
      <c r="L25" s="9"/>
    </row>
    <row r="26" spans="2:12">
      <c r="B26" s="7"/>
      <c r="C26" s="3">
        <v>41241</v>
      </c>
      <c r="D26" s="17">
        <v>36586</v>
      </c>
      <c r="E26" s="17">
        <v>13</v>
      </c>
      <c r="F26" s="24">
        <f t="shared" si="0"/>
        <v>3.5532717432897829E-4</v>
      </c>
      <c r="G26" s="17">
        <v>0</v>
      </c>
      <c r="H26" s="23">
        <v>0</v>
      </c>
      <c r="I26" s="1">
        <v>12.5</v>
      </c>
      <c r="J26" s="1">
        <f t="shared" si="1"/>
        <v>0.34166074454709455</v>
      </c>
      <c r="K26" s="1">
        <f t="shared" si="2"/>
        <v>0.96153846153846156</v>
      </c>
      <c r="L26" s="9"/>
    </row>
    <row r="27" spans="2:12">
      <c r="B27" s="7"/>
      <c r="C27" s="3">
        <v>41242</v>
      </c>
      <c r="D27" s="17">
        <v>19260</v>
      </c>
      <c r="E27" s="17">
        <v>7</v>
      </c>
      <c r="F27" s="24">
        <f t="shared" si="0"/>
        <v>3.6344755970924193E-4</v>
      </c>
      <c r="G27" s="17">
        <v>0</v>
      </c>
      <c r="H27" s="23">
        <v>0</v>
      </c>
      <c r="I27" s="1">
        <v>6.99</v>
      </c>
      <c r="J27" s="1">
        <f t="shared" si="1"/>
        <v>0.36292834890965736</v>
      </c>
      <c r="K27" s="1">
        <f t="shared" si="2"/>
        <v>0.99857142857142855</v>
      </c>
      <c r="L27" s="9"/>
    </row>
    <row r="28" spans="2:12">
      <c r="B28" s="7"/>
      <c r="C28" s="3">
        <v>41243</v>
      </c>
      <c r="D28" s="17">
        <v>17754</v>
      </c>
      <c r="E28" s="17">
        <v>13</v>
      </c>
      <c r="F28" s="24">
        <f t="shared" si="0"/>
        <v>7.3222935676467275E-4</v>
      </c>
      <c r="G28" s="17">
        <v>0</v>
      </c>
      <c r="H28" s="23">
        <v>0</v>
      </c>
      <c r="I28" s="1">
        <v>7.06</v>
      </c>
      <c r="J28" s="1">
        <f t="shared" si="1"/>
        <v>0.39765686605835304</v>
      </c>
      <c r="K28" s="1">
        <f t="shared" si="2"/>
        <v>0.54307692307692301</v>
      </c>
      <c r="L28" s="9"/>
    </row>
    <row r="29" spans="2:12">
      <c r="B29" s="7"/>
      <c r="C29" s="3">
        <v>41244</v>
      </c>
      <c r="D29" s="17">
        <v>18595</v>
      </c>
      <c r="E29" s="17">
        <v>5</v>
      </c>
      <c r="F29" s="24">
        <f t="shared" si="0"/>
        <v>2.6888948642108095E-4</v>
      </c>
      <c r="G29" s="17">
        <v>0</v>
      </c>
      <c r="H29" s="23">
        <v>0</v>
      </c>
      <c r="I29" s="1">
        <v>7.52</v>
      </c>
      <c r="J29" s="1">
        <f t="shared" si="1"/>
        <v>0.40440978757730572</v>
      </c>
      <c r="K29" s="1">
        <f t="shared" si="2"/>
        <v>1.504</v>
      </c>
      <c r="L29" s="9"/>
    </row>
    <row r="30" spans="2:12">
      <c r="B30" s="7"/>
      <c r="C30" s="3">
        <v>41245</v>
      </c>
      <c r="D30" s="17">
        <v>0</v>
      </c>
      <c r="E30" s="17">
        <v>0</v>
      </c>
      <c r="F30" s="24" t="s">
        <v>18</v>
      </c>
      <c r="G30" s="17">
        <v>0</v>
      </c>
      <c r="H30" s="23">
        <v>0</v>
      </c>
      <c r="I30" s="1">
        <v>0</v>
      </c>
      <c r="J30" s="1">
        <v>0</v>
      </c>
      <c r="K30" s="1">
        <v>0</v>
      </c>
      <c r="L30" s="9"/>
    </row>
    <row r="31" spans="2:12">
      <c r="B31" s="7"/>
      <c r="C31" s="11" t="s">
        <v>15</v>
      </c>
      <c r="D31" s="4">
        <f>SUM(D24:D30)</f>
        <v>156314</v>
      </c>
      <c r="E31" s="25">
        <f>SUM(E24:E30)</f>
        <v>61</v>
      </c>
      <c r="F31" s="27">
        <f>E31/D31</f>
        <v>3.9024015763143414E-4</v>
      </c>
      <c r="G31" s="4">
        <f>SUM(G24:G30)</f>
        <v>0</v>
      </c>
      <c r="H31" s="5">
        <f>SUM(H24:H30)</f>
        <v>0</v>
      </c>
      <c r="I31" s="5">
        <f>SUM(I24:I30)</f>
        <v>57.430000000000007</v>
      </c>
      <c r="J31" s="5">
        <f>I31/D31*1000</f>
        <v>0.36740151234054536</v>
      </c>
      <c r="K31" s="5">
        <f>I31/E31</f>
        <v>0.9414754098360657</v>
      </c>
      <c r="L31" s="9"/>
    </row>
    <row r="32" spans="2:12">
      <c r="B32" s="7"/>
      <c r="C32" s="8"/>
      <c r="D32" s="8"/>
      <c r="E32" s="8"/>
      <c r="F32" s="8"/>
      <c r="G32" s="8"/>
      <c r="H32" s="8"/>
      <c r="I32" s="8"/>
      <c r="J32" s="8"/>
      <c r="K32" s="8"/>
      <c r="L32" s="9"/>
    </row>
    <row r="33" spans="2:12">
      <c r="B33" s="7"/>
      <c r="C33" s="26" t="s">
        <v>5</v>
      </c>
      <c r="D33" s="20"/>
      <c r="E33" s="20"/>
      <c r="F33" s="8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</row>
    <row r="37" spans="2:12">
      <c r="B37" s="16"/>
      <c r="C37" s="16"/>
      <c r="D37" s="16"/>
      <c r="E37" s="16"/>
    </row>
    <row r="38" spans="2:12">
      <c r="B38" s="16"/>
      <c r="C38" s="16"/>
      <c r="D38" s="16"/>
      <c r="E38" s="16"/>
    </row>
    <row r="39" spans="2:12">
      <c r="B39" s="16"/>
      <c r="C39" s="16"/>
      <c r="D39" s="16"/>
      <c r="E39" s="16"/>
    </row>
  </sheetData>
  <mergeCells count="2">
    <mergeCell ref="B2:K2"/>
    <mergeCell ref="C9:K17"/>
  </mergeCells>
  <phoneticPr fontId="2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第一周（11-23～12-02)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2012-12-04T10:53:57Z</dcterms:modified>
</cp:coreProperties>
</file>