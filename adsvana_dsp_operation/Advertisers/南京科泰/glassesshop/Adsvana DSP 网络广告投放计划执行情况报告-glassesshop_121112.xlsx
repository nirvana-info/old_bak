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activeTab="2"/>
  </bookViews>
  <sheets>
    <sheet name="第一周（10-22～10-28）" sheetId="21" r:id="rId1"/>
    <sheet name="第二周（10-29～11-04）" sheetId="20" r:id="rId2"/>
    <sheet name="第三周（11-05～11-11）" sheetId="22" r:id="rId3"/>
    <sheet name="Sheet2" sheetId="17" r:id="rId4"/>
  </sheets>
  <calcPr calcId="125725"/>
</workbook>
</file>

<file path=xl/calcChain.xml><?xml version="1.0" encoding="utf-8"?>
<calcChain xmlns="http://schemas.openxmlformats.org/spreadsheetml/2006/main">
  <c r="K23" i="22"/>
  <c r="J23"/>
  <c r="F23"/>
  <c r="I30"/>
  <c r="H30"/>
  <c r="G30"/>
  <c r="E30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G31" i="20"/>
  <c r="H31"/>
  <c r="I31"/>
  <c r="E3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J31"/>
  <c r="K31"/>
  <c r="I31" i="21"/>
  <c r="J31" s="1"/>
  <c r="H31"/>
  <c r="G31"/>
  <c r="E31"/>
  <c r="F31" s="1"/>
  <c r="D31"/>
  <c r="K30"/>
  <c r="J30"/>
  <c r="F30"/>
  <c r="K29"/>
  <c r="J29"/>
  <c r="F29"/>
  <c r="K28"/>
  <c r="J28"/>
  <c r="F28"/>
  <c r="K27"/>
  <c r="J27"/>
  <c r="F27"/>
  <c r="K26"/>
  <c r="J26"/>
  <c r="F26"/>
  <c r="F30" i="22" l="1"/>
  <c r="J30"/>
  <c r="K30"/>
  <c r="F31" i="20"/>
  <c r="K31" i="21"/>
</calcChain>
</file>

<file path=xl/sharedStrings.xml><?xml version="1.0" encoding="utf-8"?>
<sst xmlns="http://schemas.openxmlformats.org/spreadsheetml/2006/main" count="54" uniqueCount="29">
  <si>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</si>
  <si>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</si>
  <si>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</si>
  <si>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</si>
  <si>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</si>
  <si>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</si>
  <si>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</si>
  <si>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</si>
  <si>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</si>
  <si>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</si>
  <si>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</si>
  <si>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</si>
  <si>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点击数</t>
    <phoneticPr fontId="1" type="noConversion"/>
  </si>
  <si>
    <t>阶段小结</t>
    <phoneticPr fontId="1" type="noConversion"/>
  </si>
  <si>
    <t>每日数据概览</t>
    <phoneticPr fontId="1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</si>
  <si>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4" type="noConversion"/>
  </si>
  <si>
    <r>
      <t xml:space="preserve">glassesshop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0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</si>
  <si>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4.积累本周投放数据后和GA报表进行数据比对；</t>
    </r>
    <phoneticPr fontId="24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</si>
  <si>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1.继续小预算的进行各场景的测试投放；
2.继续优化动态出价算法；
3.根据投放数据优化投放模型；
4.继续和GA报表进行数据比对，确定转化界定策略；
5.开始retargeting投放；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5.挑选效果较好的媒体进行白名单投放；</t>
    </r>
    <phoneticPr fontId="24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</si>
  <si>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</si>
  <si>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</si>
  <si>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点击数</t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</si>
  <si>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</si>
  <si>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</si>
  <si>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</si>
  <si>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</si>
  <si>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</si>
  <si>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</si>
  <si>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1.鉴于点击率一直比较低，需重新挑选人群类别和媒体类别；
2.重构出价算法；
3.继续测试场景投放；
4.持续Retargeting投放；</t>
    </r>
    <phoneticPr fontId="24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</si>
</sst>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2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3" applyNumberFormat="0" applyAlignment="0" applyProtection="0">
      <alignment vertical="center"/>
    </xf>
    <xf numFmtId="0" fontId="6" fillId="2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5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6">
    <xf numFmtId="0" fontId="0" fillId="0" borderId="0" xfId="0">
      <alignment vertical="center"/>
    </xf>
    <xf numFmtId="26" fontId="19" fillId="35" borderId="1" xfId="0" applyNumberFormat="1" applyFont="1" applyFill="1" applyBorder="1" applyAlignment="1"/>
    <xf numFmtId="14" fontId="19" fillId="34" borderId="1" xfId="0" applyNumberFormat="1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3" fontId="19" fillId="37" borderId="1" xfId="0" applyNumberFormat="1" applyFont="1" applyFill="1" applyBorder="1" applyAlignment="1"/>
    <xf numFmtId="26" fontId="19" fillId="37" borderId="1" xfId="0" applyNumberFormat="1" applyFont="1" applyFill="1" applyBorder="1" applyAlignment="1"/>
    <xf numFmtId="0" fontId="25" fillId="34" borderId="0" xfId="0" applyFont="1" applyFill="1">
      <alignment vertical="center"/>
    </xf>
    <xf numFmtId="0" fontId="25" fillId="34" borderId="16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7" xfId="0" applyFont="1" applyFill="1" applyBorder="1">
      <alignment vertical="center"/>
    </xf>
    <xf numFmtId="0" fontId="26" fillId="36" borderId="0" xfId="0" applyFont="1" applyFill="1" applyBorder="1" applyAlignment="1">
      <alignment horizontal="left" vertical="center"/>
    </xf>
    <xf numFmtId="0" fontId="19" fillId="37" borderId="1" xfId="0" applyFont="1" applyFill="1" applyBorder="1" applyAlignment="1">
      <alignment horizontal="right" vertical="center"/>
    </xf>
    <xf numFmtId="0" fontId="25" fillId="34" borderId="18" xfId="0" applyFont="1" applyFill="1" applyBorder="1">
      <alignment vertical="center"/>
    </xf>
    <xf numFmtId="0" fontId="25" fillId="34" borderId="12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34" borderId="0" xfId="0" applyFont="1" applyFill="1" applyAlignment="1">
      <alignment vertical="top" wrapText="1"/>
    </xf>
    <xf numFmtId="0" fontId="25" fillId="34" borderId="0" xfId="0" applyFont="1" applyFill="1" applyAlignment="1">
      <alignment vertical="center"/>
    </xf>
    <xf numFmtId="3" fontId="19" fillId="0" borderId="1" xfId="0" applyNumberFormat="1" applyFont="1" applyBorder="1" applyAlignment="1">
      <alignment horizontal="right"/>
    </xf>
    <xf numFmtId="0" fontId="20" fillId="33" borderId="1" xfId="0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177" fontId="19" fillId="34" borderId="0" xfId="43" applyNumberFormat="1" applyFont="1" applyFill="1" applyBorder="1" applyAlignment="1">
      <alignment vertical="center"/>
    </xf>
    <xf numFmtId="178" fontId="19" fillId="34" borderId="0" xfId="39" applyNumberFormat="1" applyFont="1" applyFill="1" applyBorder="1">
      <alignment vertical="center"/>
    </xf>
    <xf numFmtId="0" fontId="27" fillId="36" borderId="0" xfId="0" applyFont="1" applyFill="1" applyBorder="1">
      <alignment vertical="center"/>
    </xf>
    <xf numFmtId="0" fontId="20" fillId="33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/>
    </xf>
    <xf numFmtId="178" fontId="19" fillId="34" borderId="2" xfId="39" applyNumberFormat="1" applyFont="1" applyFill="1" applyBorder="1" applyAlignment="1">
      <alignment horizontal="right"/>
    </xf>
    <xf numFmtId="3" fontId="19" fillId="37" borderId="2" xfId="0" applyNumberFormat="1" applyFont="1" applyFill="1" applyBorder="1" applyAlignment="1">
      <alignment horizontal="right"/>
    </xf>
    <xf numFmtId="178" fontId="19" fillId="37" borderId="2" xfId="39" applyNumberFormat="1" applyFont="1" applyFill="1" applyBorder="1" applyAlignment="1">
      <alignment horizontal="right"/>
    </xf>
    <xf numFmtId="26" fontId="19" fillId="34" borderId="1" xfId="0" applyNumberFormat="1" applyFont="1" applyFill="1" applyBorder="1" applyAlignment="1"/>
    <xf numFmtId="10" fontId="19" fillId="34" borderId="2" xfId="39" applyNumberFormat="1" applyFont="1" applyFill="1" applyBorder="1" applyAlignment="1">
      <alignment horizontal="right"/>
    </xf>
    <xf numFmtId="10" fontId="19" fillId="37" borderId="2" xfId="39" applyNumberFormat="1" applyFont="1" applyFill="1" applyBorder="1" applyAlignment="1">
      <alignment horizontal="right"/>
    </xf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39"/>
  <sheetViews>
    <sheetView topLeftCell="A4" workbookViewId="0">
      <selection activeCell="O30" sqref="O3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41206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17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C22" s="35"/>
      <c r="D22" s="35"/>
      <c r="E22" s="35"/>
      <c r="F22" s="35"/>
      <c r="G22" s="35"/>
      <c r="H22" s="35"/>
      <c r="I22" s="35"/>
      <c r="J22" s="35"/>
      <c r="K22" s="35"/>
      <c r="L22" s="9"/>
    </row>
    <row r="23" spans="2:12">
      <c r="B23" s="7"/>
      <c r="L23" s="9"/>
    </row>
    <row r="24" spans="2:12">
      <c r="B24" s="7"/>
      <c r="C24" s="22" t="s">
        <v>14</v>
      </c>
      <c r="D24" s="8"/>
      <c r="E24" s="8"/>
      <c r="F24" s="8"/>
      <c r="L24" s="9"/>
    </row>
    <row r="25" spans="2:12">
      <c r="B25" s="7"/>
      <c r="C25" s="19" t="s">
        <v>3</v>
      </c>
      <c r="D25" s="19" t="s">
        <v>4</v>
      </c>
      <c r="E25" s="23" t="s">
        <v>12</v>
      </c>
      <c r="F25" s="23" t="s">
        <v>5</v>
      </c>
      <c r="G25" s="18" t="s">
        <v>6</v>
      </c>
      <c r="H25" s="19" t="s">
        <v>7</v>
      </c>
      <c r="I25" s="19" t="s">
        <v>8</v>
      </c>
      <c r="J25" s="19" t="s">
        <v>9</v>
      </c>
      <c r="K25" s="19" t="s">
        <v>10</v>
      </c>
      <c r="L25" s="9"/>
    </row>
    <row r="26" spans="2:12">
      <c r="B26" s="7"/>
      <c r="C26" s="3">
        <v>41206</v>
      </c>
      <c r="D26" s="17">
        <v>52042</v>
      </c>
      <c r="E26" s="24">
        <v>14</v>
      </c>
      <c r="F26" s="25">
        <f t="shared" ref="F26:F30" si="0">E26/D26</f>
        <v>2.6901348910495372E-4</v>
      </c>
      <c r="G26" s="17">
        <v>0</v>
      </c>
      <c r="H26" s="28">
        <v>0</v>
      </c>
      <c r="I26" s="1">
        <v>13.19192</v>
      </c>
      <c r="J26" s="1">
        <f t="shared" ref="J26:J30" si="1">I26/D26*1000</f>
        <v>0.25348603051381574</v>
      </c>
      <c r="K26" s="1">
        <f t="shared" ref="K26:K30" si="2">I26/E26</f>
        <v>0.94228000000000001</v>
      </c>
      <c r="L26" s="9"/>
    </row>
    <row r="27" spans="2:12">
      <c r="B27" s="7"/>
      <c r="C27" s="3">
        <v>41207</v>
      </c>
      <c r="D27" s="17">
        <v>111347</v>
      </c>
      <c r="E27" s="24">
        <v>13</v>
      </c>
      <c r="F27" s="25">
        <f t="shared" si="0"/>
        <v>1.1675213521693445E-4</v>
      </c>
      <c r="G27" s="17">
        <v>1</v>
      </c>
      <c r="H27" s="28">
        <v>42.98</v>
      </c>
      <c r="I27" s="1">
        <v>35.968440000000001</v>
      </c>
      <c r="J27" s="1">
        <f t="shared" si="1"/>
        <v>0.32303016695555337</v>
      </c>
      <c r="K27" s="1">
        <f t="shared" si="2"/>
        <v>2.7668030769230771</v>
      </c>
      <c r="L27" s="9"/>
    </row>
    <row r="28" spans="2:12">
      <c r="B28" s="7"/>
      <c r="C28" s="3">
        <v>41208</v>
      </c>
      <c r="D28" s="17">
        <v>99225</v>
      </c>
      <c r="E28" s="24">
        <v>9</v>
      </c>
      <c r="F28" s="25">
        <f t="shared" si="0"/>
        <v>9.0702947845804991E-5</v>
      </c>
      <c r="G28" s="17">
        <v>2</v>
      </c>
      <c r="H28" s="28">
        <v>37.57</v>
      </c>
      <c r="I28" s="1">
        <v>34.784410000000001</v>
      </c>
      <c r="J28" s="1">
        <f t="shared" si="1"/>
        <v>0.35056094734189974</v>
      </c>
      <c r="K28" s="1">
        <f t="shared" si="2"/>
        <v>3.8649344444444447</v>
      </c>
      <c r="L28" s="9"/>
    </row>
    <row r="29" spans="2:12">
      <c r="B29" s="7"/>
      <c r="C29" s="3">
        <v>41209</v>
      </c>
      <c r="D29" s="17">
        <v>68093</v>
      </c>
      <c r="E29" s="24">
        <v>10</v>
      </c>
      <c r="F29" s="25">
        <f t="shared" si="0"/>
        <v>1.4685797365367954E-4</v>
      </c>
      <c r="G29" s="17">
        <v>0</v>
      </c>
      <c r="H29" s="28">
        <v>0</v>
      </c>
      <c r="I29" s="1">
        <v>21.698069999999898</v>
      </c>
      <c r="J29" s="1">
        <f t="shared" si="1"/>
        <v>0.31865345923956795</v>
      </c>
      <c r="K29" s="1">
        <f t="shared" si="2"/>
        <v>2.1698069999999898</v>
      </c>
      <c r="L29" s="9"/>
    </row>
    <row r="30" spans="2:12">
      <c r="B30" s="7"/>
      <c r="C30" s="3">
        <v>41210</v>
      </c>
      <c r="D30" s="17">
        <v>114904</v>
      </c>
      <c r="E30" s="24">
        <v>15</v>
      </c>
      <c r="F30" s="25">
        <f t="shared" si="0"/>
        <v>1.3054375826777135E-4</v>
      </c>
      <c r="G30" s="17">
        <v>3</v>
      </c>
      <c r="H30" s="28">
        <v>132.12</v>
      </c>
      <c r="I30" s="1">
        <v>36.63344</v>
      </c>
      <c r="J30" s="1">
        <f t="shared" si="1"/>
        <v>0.31881779572512708</v>
      </c>
      <c r="K30" s="1">
        <f t="shared" si="2"/>
        <v>2.4422293333333331</v>
      </c>
      <c r="L30" s="9"/>
    </row>
    <row r="31" spans="2:12">
      <c r="B31" s="7"/>
      <c r="C31" s="11" t="s">
        <v>11</v>
      </c>
      <c r="D31" s="4">
        <f>SUM(D26:D30)</f>
        <v>445611</v>
      </c>
      <c r="E31" s="26">
        <f>SUM(E26:E30)</f>
        <v>61</v>
      </c>
      <c r="F31" s="27">
        <f>E31/D31</f>
        <v>1.3689069614529264E-4</v>
      </c>
      <c r="G31" s="4">
        <f>SUM(G26:G30)</f>
        <v>6</v>
      </c>
      <c r="H31" s="5">
        <f>SUM(H26:H30)</f>
        <v>212.67000000000002</v>
      </c>
      <c r="I31" s="5">
        <f>SUM(I26:I30)</f>
        <v>142.2762799999999</v>
      </c>
      <c r="J31" s="5">
        <f>I31/D31*1000</f>
        <v>0.3192835903961076</v>
      </c>
      <c r="K31" s="5">
        <f>I31/E31</f>
        <v>2.3323980327868834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2"/>
  </mergeCells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39"/>
  <sheetViews>
    <sheetView workbookViewId="0">
      <selection activeCell="F6" sqref="F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18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3</v>
      </c>
      <c r="D23" s="19" t="s">
        <v>4</v>
      </c>
      <c r="E23" s="23" t="s">
        <v>12</v>
      </c>
      <c r="F23" s="23" t="s">
        <v>5</v>
      </c>
      <c r="G23" s="18" t="s">
        <v>6</v>
      </c>
      <c r="H23" s="19" t="s">
        <v>7</v>
      </c>
      <c r="I23" s="19" t="s">
        <v>8</v>
      </c>
      <c r="J23" s="19" t="s">
        <v>9</v>
      </c>
      <c r="K23" s="19" t="s">
        <v>10</v>
      </c>
      <c r="L23" s="9"/>
    </row>
    <row r="24" spans="2:12">
      <c r="B24" s="7"/>
      <c r="C24" s="3">
        <v>41211</v>
      </c>
      <c r="D24" s="17">
        <v>80242</v>
      </c>
      <c r="E24" s="24">
        <v>10</v>
      </c>
      <c r="F24" s="29">
        <f t="shared" ref="F24:F30" si="0">E24/D24</f>
        <v>1.2462301537848009E-4</v>
      </c>
      <c r="G24" s="17">
        <v>1</v>
      </c>
      <c r="H24" s="28">
        <v>40.49</v>
      </c>
      <c r="I24" s="1">
        <v>25.953309999999998</v>
      </c>
      <c r="J24" s="1">
        <f t="shared" ref="J24:J30" si="1">I24/D24*1000</f>
        <v>0.32343797512524608</v>
      </c>
      <c r="K24" s="1">
        <f t="shared" ref="K24:K30" si="2">I24/E24</f>
        <v>2.5953309999999998</v>
      </c>
      <c r="L24" s="9"/>
    </row>
    <row r="25" spans="2:12">
      <c r="B25" s="7"/>
      <c r="C25" s="3">
        <v>41212</v>
      </c>
      <c r="D25" s="17">
        <v>111748</v>
      </c>
      <c r="E25" s="24">
        <v>34</v>
      </c>
      <c r="F25" s="29">
        <f t="shared" si="0"/>
        <v>3.0425600458173748E-4</v>
      </c>
      <c r="G25" s="17">
        <v>2</v>
      </c>
      <c r="H25" s="28">
        <v>81.16</v>
      </c>
      <c r="I25" s="1">
        <v>39.404850000000003</v>
      </c>
      <c r="J25" s="1">
        <f t="shared" si="1"/>
        <v>0.35262241829831409</v>
      </c>
      <c r="K25" s="1">
        <f t="shared" si="2"/>
        <v>1.1589661764705883</v>
      </c>
      <c r="L25" s="9"/>
    </row>
    <row r="26" spans="2:12">
      <c r="B26" s="7"/>
      <c r="C26" s="3">
        <v>41213</v>
      </c>
      <c r="D26" s="17">
        <v>37582</v>
      </c>
      <c r="E26" s="24">
        <v>19</v>
      </c>
      <c r="F26" s="29">
        <f t="shared" si="0"/>
        <v>5.0556117290192115E-4</v>
      </c>
      <c r="G26" s="17">
        <v>3</v>
      </c>
      <c r="H26" s="28">
        <v>161.05000000000001</v>
      </c>
      <c r="I26" s="1">
        <v>13.389239999999999</v>
      </c>
      <c r="J26" s="1">
        <f t="shared" si="1"/>
        <v>0.35626736203501674</v>
      </c>
      <c r="K26" s="1">
        <f t="shared" si="2"/>
        <v>0.70469684210526307</v>
      </c>
      <c r="L26" s="9"/>
    </row>
    <row r="27" spans="2:12">
      <c r="B27" s="7"/>
      <c r="C27" s="3">
        <v>41214</v>
      </c>
      <c r="D27" s="17">
        <v>41574</v>
      </c>
      <c r="E27" s="24">
        <v>11</v>
      </c>
      <c r="F27" s="29">
        <f t="shared" si="0"/>
        <v>2.6458844470101506E-4</v>
      </c>
      <c r="G27" s="17">
        <v>3</v>
      </c>
      <c r="H27" s="28">
        <v>143.84</v>
      </c>
      <c r="I27" s="1">
        <v>14.58305</v>
      </c>
      <c r="J27" s="1">
        <f t="shared" si="1"/>
        <v>0.35077331986337618</v>
      </c>
      <c r="K27" s="1">
        <f t="shared" si="2"/>
        <v>1.3257318181818183</v>
      </c>
      <c r="L27" s="9"/>
    </row>
    <row r="28" spans="2:12">
      <c r="B28" s="7"/>
      <c r="C28" s="3">
        <v>41215</v>
      </c>
      <c r="D28" s="17">
        <v>95344</v>
      </c>
      <c r="E28" s="24">
        <v>21</v>
      </c>
      <c r="F28" s="29">
        <f t="shared" si="0"/>
        <v>2.2025507635509313E-4</v>
      </c>
      <c r="G28" s="17">
        <v>3</v>
      </c>
      <c r="H28" s="28">
        <v>54.3</v>
      </c>
      <c r="I28" s="1">
        <v>33.495800000000003</v>
      </c>
      <c r="J28" s="1">
        <f t="shared" si="1"/>
        <v>0.351315237455949</v>
      </c>
      <c r="K28" s="1">
        <f t="shared" si="2"/>
        <v>1.5950380952380954</v>
      </c>
      <c r="L28" s="9"/>
    </row>
    <row r="29" spans="2:12">
      <c r="B29" s="7"/>
      <c r="C29" s="3">
        <v>41216</v>
      </c>
      <c r="D29" s="17">
        <v>81911</v>
      </c>
      <c r="E29" s="24">
        <v>35</v>
      </c>
      <c r="F29" s="29">
        <f t="shared" si="0"/>
        <v>4.2729303756516217E-4</v>
      </c>
      <c r="G29" s="17">
        <v>1</v>
      </c>
      <c r="H29" s="28">
        <v>31.87</v>
      </c>
      <c r="I29" s="1">
        <v>28.26379</v>
      </c>
      <c r="J29" s="1">
        <f t="shared" si="1"/>
        <v>0.34505487663439582</v>
      </c>
      <c r="K29" s="1">
        <f t="shared" si="2"/>
        <v>0.80753685714285717</v>
      </c>
      <c r="L29" s="9"/>
    </row>
    <row r="30" spans="2:12">
      <c r="B30" s="7"/>
      <c r="C30" s="3">
        <v>41217</v>
      </c>
      <c r="D30" s="17">
        <v>96576</v>
      </c>
      <c r="E30" s="24">
        <v>20</v>
      </c>
      <c r="F30" s="29">
        <f t="shared" si="0"/>
        <v>2.0709078860172298E-4</v>
      </c>
      <c r="G30" s="17">
        <v>1</v>
      </c>
      <c r="H30" s="28">
        <v>55.87</v>
      </c>
      <c r="I30" s="1">
        <v>33.081310000000002</v>
      </c>
      <c r="J30" s="1">
        <f t="shared" si="1"/>
        <v>0.34254172879390327</v>
      </c>
      <c r="K30" s="1">
        <f t="shared" si="2"/>
        <v>1.6540655000000002</v>
      </c>
      <c r="L30" s="9"/>
    </row>
    <row r="31" spans="2:12">
      <c r="B31" s="7"/>
      <c r="C31" s="11" t="s">
        <v>11</v>
      </c>
      <c r="D31" s="4">
        <f>SUM(D24:D30)</f>
        <v>544977</v>
      </c>
      <c r="E31" s="26">
        <f>SUM(E24:E30)</f>
        <v>150</v>
      </c>
      <c r="F31" s="30">
        <f>E31/D31</f>
        <v>2.7524097347227496E-4</v>
      </c>
      <c r="G31" s="4">
        <f>SUM(G24:G30)</f>
        <v>14</v>
      </c>
      <c r="H31" s="5">
        <f>SUM(H24:H30)</f>
        <v>568.58000000000004</v>
      </c>
      <c r="I31" s="5">
        <f>SUM(I24:I30)</f>
        <v>188.17134999999999</v>
      </c>
      <c r="J31" s="5">
        <f>I31/D31*1000</f>
        <v>0.34528310369061449</v>
      </c>
      <c r="K31" s="5">
        <f>I31/E31</f>
        <v>1.2544756666666665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3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8"/>
  <sheetViews>
    <sheetView tabSelected="1" workbookViewId="0">
      <selection activeCell="M10" sqref="M1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16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41218</v>
      </c>
      <c r="D6" s="2">
        <v>41224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28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19</v>
      </c>
      <c r="D22" s="19" t="s">
        <v>20</v>
      </c>
      <c r="E22" s="23" t="s">
        <v>21</v>
      </c>
      <c r="F22" s="23" t="s">
        <v>22</v>
      </c>
      <c r="G22" s="18" t="s">
        <v>23</v>
      </c>
      <c r="H22" s="19" t="s">
        <v>7</v>
      </c>
      <c r="I22" s="19" t="s">
        <v>24</v>
      </c>
      <c r="J22" s="19" t="s">
        <v>25</v>
      </c>
      <c r="K22" s="19" t="s">
        <v>26</v>
      </c>
      <c r="L22" s="9"/>
    </row>
    <row r="23" spans="2:12">
      <c r="B23" s="7"/>
      <c r="C23" s="3">
        <v>41218</v>
      </c>
      <c r="D23" s="17">
        <v>56335</v>
      </c>
      <c r="E23" s="24">
        <v>6</v>
      </c>
      <c r="F23" s="29">
        <f t="shared" ref="F23:F29" si="0">E23/D23</f>
        <v>1.0650572468270169E-4</v>
      </c>
      <c r="G23" s="17">
        <v>4</v>
      </c>
      <c r="H23" s="28">
        <v>189.57</v>
      </c>
      <c r="I23" s="1">
        <v>18.92719</v>
      </c>
      <c r="J23" s="1">
        <f t="shared" ref="J23:J29" si="1">I23/D23*1000</f>
        <v>0.33597568119286414</v>
      </c>
      <c r="K23" s="1">
        <f t="shared" ref="K23:K29" si="2">I23/E23</f>
        <v>3.1545316666666667</v>
      </c>
      <c r="L23" s="9"/>
    </row>
    <row r="24" spans="2:12">
      <c r="B24" s="7"/>
      <c r="C24" s="3">
        <v>41219</v>
      </c>
      <c r="D24" s="17">
        <v>48296</v>
      </c>
      <c r="E24" s="24">
        <v>10</v>
      </c>
      <c r="F24" s="29">
        <f t="shared" si="0"/>
        <v>2.0705648500911049E-4</v>
      </c>
      <c r="G24" s="17">
        <v>0</v>
      </c>
      <c r="H24" s="28">
        <v>0</v>
      </c>
      <c r="I24" s="1">
        <v>16.289400000000001</v>
      </c>
      <c r="J24" s="1">
        <f t="shared" si="1"/>
        <v>0.33728259069074046</v>
      </c>
      <c r="K24" s="1">
        <f t="shared" si="2"/>
        <v>1.6289400000000001</v>
      </c>
      <c r="L24" s="9"/>
    </row>
    <row r="25" spans="2:12">
      <c r="B25" s="7"/>
      <c r="C25" s="3">
        <v>41220</v>
      </c>
      <c r="D25" s="17">
        <v>51797</v>
      </c>
      <c r="E25" s="24">
        <v>10</v>
      </c>
      <c r="F25" s="29">
        <f t="shared" si="0"/>
        <v>1.9306137421086164E-4</v>
      </c>
      <c r="G25" s="17">
        <v>3</v>
      </c>
      <c r="H25" s="28">
        <v>136.08000000000001</v>
      </c>
      <c r="I25" s="1">
        <v>17.743780000000001</v>
      </c>
      <c r="J25" s="1">
        <f t="shared" si="1"/>
        <v>0.34256385504952025</v>
      </c>
      <c r="K25" s="1">
        <f t="shared" si="2"/>
        <v>1.774378</v>
      </c>
      <c r="L25" s="9"/>
    </row>
    <row r="26" spans="2:12">
      <c r="B26" s="7"/>
      <c r="C26" s="3">
        <v>41221</v>
      </c>
      <c r="D26" s="17">
        <v>85650</v>
      </c>
      <c r="E26" s="24">
        <v>11</v>
      </c>
      <c r="F26" s="29">
        <f t="shared" si="0"/>
        <v>1.284296555750146E-4</v>
      </c>
      <c r="G26" s="17">
        <v>4</v>
      </c>
      <c r="H26" s="28">
        <v>85.01</v>
      </c>
      <c r="I26" s="1">
        <v>29.604389999999999</v>
      </c>
      <c r="J26" s="1">
        <f t="shared" si="1"/>
        <v>0.34564378283712782</v>
      </c>
      <c r="K26" s="1">
        <f t="shared" si="2"/>
        <v>2.6913081818181817</v>
      </c>
      <c r="L26" s="9"/>
    </row>
    <row r="27" spans="2:12">
      <c r="B27" s="7"/>
      <c r="C27" s="3">
        <v>41222</v>
      </c>
      <c r="D27" s="17">
        <v>102710</v>
      </c>
      <c r="E27" s="24">
        <v>24</v>
      </c>
      <c r="F27" s="29">
        <f t="shared" si="0"/>
        <v>2.3366760782786487E-4</v>
      </c>
      <c r="G27" s="17">
        <v>4</v>
      </c>
      <c r="H27" s="28">
        <v>301.02999999999997</v>
      </c>
      <c r="I27" s="1">
        <v>37.541060000000002</v>
      </c>
      <c r="J27" s="1">
        <f t="shared" si="1"/>
        <v>0.36550540356343103</v>
      </c>
      <c r="K27" s="1">
        <f t="shared" si="2"/>
        <v>1.5642108333333333</v>
      </c>
      <c r="L27" s="9"/>
    </row>
    <row r="28" spans="2:12">
      <c r="B28" s="7"/>
      <c r="C28" s="3">
        <v>41223</v>
      </c>
      <c r="D28" s="17">
        <v>101979</v>
      </c>
      <c r="E28" s="24">
        <v>29</v>
      </c>
      <c r="F28" s="29">
        <f t="shared" si="0"/>
        <v>2.8437227272281549E-4</v>
      </c>
      <c r="G28" s="17">
        <v>3</v>
      </c>
      <c r="H28" s="28">
        <v>74.260000000000005</v>
      </c>
      <c r="I28" s="1">
        <v>36.666249999999998</v>
      </c>
      <c r="J28" s="1">
        <f t="shared" si="1"/>
        <v>0.35954706361113559</v>
      </c>
      <c r="K28" s="1">
        <f t="shared" si="2"/>
        <v>1.264353448275862</v>
      </c>
      <c r="L28" s="9"/>
    </row>
    <row r="29" spans="2:12">
      <c r="B29" s="7"/>
      <c r="C29" s="3">
        <v>41224</v>
      </c>
      <c r="D29" s="17">
        <v>103427</v>
      </c>
      <c r="E29" s="24">
        <v>13</v>
      </c>
      <c r="F29" s="29">
        <f t="shared" si="0"/>
        <v>1.2569251742775098E-4</v>
      </c>
      <c r="G29" s="17">
        <v>5</v>
      </c>
      <c r="H29" s="28">
        <v>189.14</v>
      </c>
      <c r="I29" s="1">
        <v>36.42098</v>
      </c>
      <c r="J29" s="1">
        <f t="shared" si="1"/>
        <v>0.35214189718352079</v>
      </c>
      <c r="K29" s="1">
        <f t="shared" si="2"/>
        <v>2.8016138461538462</v>
      </c>
      <c r="L29" s="9"/>
    </row>
    <row r="30" spans="2:12">
      <c r="B30" s="7"/>
      <c r="C30" s="11" t="s">
        <v>27</v>
      </c>
      <c r="D30" s="4">
        <f>SUM(D23:D29)</f>
        <v>550194</v>
      </c>
      <c r="E30" s="26">
        <f>SUM(E23:E29)</f>
        <v>103</v>
      </c>
      <c r="F30" s="30">
        <f>E30/D30</f>
        <v>1.8720669436598727E-4</v>
      </c>
      <c r="G30" s="4">
        <f>SUM(G23:G29)</f>
        <v>23</v>
      </c>
      <c r="H30" s="5">
        <f>SUM(H23:H29)</f>
        <v>975.08999999999992</v>
      </c>
      <c r="I30" s="5">
        <f>SUM(I23:I29)</f>
        <v>193.19304999999997</v>
      </c>
      <c r="J30" s="5">
        <f>I30/D30*1000</f>
        <v>0.35113623558235818</v>
      </c>
      <c r="K30" s="5">
        <f>I30/E30</f>
        <v>1.8756606796116502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第一周（10-22～10-28）</vt:lpstr>
      <vt:lpstr>第二周（10-29～11-04）</vt:lpstr>
      <vt:lpstr>第三周（11-05～11-11）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2012-11-13T11:30:20Z</dcterms:modified>
</cp:coreProperties>
</file>