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/>
  </bookViews>
  <sheets>
    <sheet name="总结" sheetId="12" r:id="rId1"/>
    <sheet name="Sheet1" sheetId="14" r:id="rId2"/>
  </sheets>
  <calcPr calcId="125725"/>
</workbook>
</file>

<file path=xl/calcChain.xml><?xml version="1.0" encoding="utf-8"?>
<calcChain xmlns="http://schemas.openxmlformats.org/spreadsheetml/2006/main">
  <c r="M66" i="12"/>
  <c r="L66"/>
  <c r="K66"/>
  <c r="M65"/>
  <c r="L65"/>
  <c r="K65"/>
  <c r="M64"/>
  <c r="L64"/>
  <c r="K64"/>
  <c r="M63"/>
  <c r="L63"/>
  <c r="K63"/>
  <c r="M62"/>
  <c r="L62"/>
  <c r="K62"/>
  <c r="M61"/>
  <c r="L61"/>
  <c r="K61"/>
  <c r="M60"/>
  <c r="L60"/>
  <c r="K60"/>
  <c r="M59"/>
  <c r="L59"/>
  <c r="K59"/>
  <c r="M58"/>
  <c r="L58"/>
  <c r="K58"/>
  <c r="M57"/>
  <c r="L57"/>
  <c r="K57"/>
  <c r="M53"/>
  <c r="L53"/>
  <c r="K53"/>
  <c r="M52"/>
  <c r="L52"/>
  <c r="K52"/>
  <c r="M51"/>
  <c r="L51"/>
  <c r="K51"/>
  <c r="M50"/>
  <c r="L50"/>
  <c r="K50"/>
  <c r="M49"/>
  <c r="L49"/>
  <c r="K49"/>
  <c r="M48"/>
  <c r="L48"/>
  <c r="K48"/>
  <c r="M47"/>
  <c r="L47"/>
  <c r="K47"/>
  <c r="M46"/>
  <c r="L46"/>
  <c r="K46"/>
  <c r="M45"/>
  <c r="L45"/>
  <c r="K45"/>
  <c r="M44"/>
  <c r="L44"/>
  <c r="K44"/>
  <c r="I22"/>
  <c r="E22"/>
  <c r="D22"/>
  <c r="H22"/>
  <c r="G22"/>
  <c r="M27"/>
  <c r="M28"/>
  <c r="M29"/>
  <c r="M30"/>
  <c r="M26"/>
  <c r="L27"/>
  <c r="L28"/>
  <c r="L29"/>
  <c r="L30"/>
  <c r="L26"/>
  <c r="K27"/>
  <c r="K28"/>
  <c r="K29"/>
  <c r="K30"/>
  <c r="K26"/>
  <c r="D27"/>
  <c r="D26"/>
  <c r="F28"/>
  <c r="M12"/>
  <c r="L12"/>
  <c r="K11"/>
  <c r="K10"/>
  <c r="I12"/>
  <c r="D11"/>
  <c r="J11" s="1"/>
  <c r="D10"/>
  <c r="J10" s="1"/>
  <c r="N12"/>
  <c r="F39"/>
  <c r="F38"/>
  <c r="F37"/>
  <c r="F36"/>
  <c r="F35"/>
  <c r="F34"/>
  <c r="F33"/>
  <c r="F32"/>
  <c r="F44"/>
  <c r="F45"/>
  <c r="F46"/>
  <c r="F47"/>
  <c r="F48"/>
  <c r="F49"/>
  <c r="F50"/>
  <c r="F43"/>
  <c r="E12"/>
  <c r="F11"/>
  <c r="D28" l="1"/>
  <c r="K12"/>
  <c r="J22"/>
  <c r="K22"/>
  <c r="D12"/>
  <c r="J12" s="1"/>
  <c r="F10"/>
  <c r="F22" l="1"/>
  <c r="F12"/>
</calcChain>
</file>

<file path=xl/sharedStrings.xml><?xml version="1.0" encoding="utf-8"?>
<sst xmlns="http://schemas.openxmlformats.org/spreadsheetml/2006/main" count="175" uniqueCount="103">
  <si>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1. </t>
    </r>
    <r>
      <rPr>
        <sz val="11"/>
        <color theme="1"/>
        <rFont val="宋体"/>
        <family val="3"/>
        <charset val="134"/>
      </rPr>
      <t>所有日期按美国太平洋时区计；</t>
    </r>
    <r>
      <rPr>
        <sz val="11"/>
        <color theme="1"/>
        <rFont val="Arial"/>
        <family val="2"/>
      </rPr>
      <t xml:space="preserve"> 2. </t>
    </r>
    <r>
      <rPr>
        <sz val="11"/>
        <color theme="1"/>
        <rFont val="宋体"/>
        <family val="3"/>
        <charset val="134"/>
      </rPr>
      <t>其中带</t>
    </r>
    <r>
      <rPr>
        <sz val="11"/>
        <color theme="1"/>
        <rFont val="Arial"/>
        <family val="2"/>
      </rPr>
      <t>*</t>
    </r>
    <r>
      <rPr>
        <sz val="11"/>
        <color theme="1"/>
        <rFont val="宋体"/>
        <family val="3"/>
        <charset val="134"/>
      </rPr>
      <t>的频次分析处，独立访问用户数是包含关系，即展示过二次的用户一定展示过一次；</t>
    </r>
    <phoneticPr fontId="24" type="noConversion"/>
  </si>
  <si>
    <r>
      <t xml:space="preserve">FocalPrice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的网络广告投放第一阶段执行总结</t>
    </r>
    <phoneticPr fontId="24" type="noConversion"/>
  </si>
  <si>
    <t>View- through
Conv.
On Google Adx</t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</si>
  <si>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</si>
  <si>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点击率</t>
    <phoneticPr fontId="1" type="noConversion"/>
  </si>
  <si>
    <t>CPM</t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</si>
  <si>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</si>
  <si>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Canada</t>
    <phoneticPr fontId="1" type="noConversion"/>
  </si>
  <si>
    <t>Russia</t>
    <phoneticPr fontId="1" type="noConversion"/>
  </si>
  <si>
    <t>United Kingdom</t>
    <phoneticPr fontId="1" type="noConversion"/>
  </si>
  <si>
    <t>Spain</t>
    <phoneticPr fontId="1" type="noConversion"/>
  </si>
  <si>
    <t>Australia</t>
    <phoneticPr fontId="1" type="noConversion"/>
  </si>
  <si>
    <t>Internet &amp; Telecom &gt; Mobile &amp; Wireless</t>
    <phoneticPr fontId="32" type="noConversion"/>
  </si>
  <si>
    <t>Computers &amp; Electronics &gt; Consumer Electronics</t>
    <phoneticPr fontId="32" type="noConversion"/>
  </si>
  <si>
    <t>Computers &amp; Electronics &gt; Software</t>
    <phoneticPr fontId="32" type="noConversion"/>
  </si>
  <si>
    <r>
      <rPr>
        <b/>
        <sz val="10"/>
        <color theme="1"/>
        <rFont val="宋体"/>
        <family val="3"/>
        <charset val="134"/>
      </rPr>
      <t>执行时间</t>
    </r>
    <phoneticPr fontId="1" type="noConversion"/>
  </si>
  <si>
    <r>
      <rPr>
        <b/>
        <sz val="10"/>
        <color theme="1"/>
        <rFont val="宋体"/>
        <family val="3"/>
        <charset val="134"/>
      </rPr>
      <t>基本定向</t>
    </r>
    <phoneticPr fontId="1" type="noConversion"/>
  </si>
  <si>
    <r>
      <rPr>
        <b/>
        <sz val="10"/>
        <color theme="0"/>
        <rFont val="宋体"/>
        <family val="3"/>
        <charset val="134"/>
      </rPr>
      <t>开始日期</t>
    </r>
    <phoneticPr fontId="1" type="noConversion"/>
  </si>
  <si>
    <r>
      <rPr>
        <b/>
        <sz val="10"/>
        <color theme="0"/>
        <rFont val="宋体"/>
        <family val="3"/>
        <charset val="134"/>
      </rPr>
      <t>结束日期</t>
    </r>
    <phoneticPr fontId="1" type="noConversion"/>
  </si>
  <si>
    <r>
      <rPr>
        <b/>
        <sz val="10"/>
        <color theme="0"/>
        <rFont val="宋体"/>
        <family val="3"/>
        <charset val="134"/>
      </rPr>
      <t>投放区域</t>
    </r>
    <phoneticPr fontId="1" type="noConversion"/>
  </si>
  <si>
    <r>
      <rPr>
        <b/>
        <sz val="10"/>
        <color theme="0"/>
        <rFont val="宋体"/>
        <family val="3"/>
        <charset val="134"/>
      </rPr>
      <t>投放语言</t>
    </r>
    <phoneticPr fontId="1" type="noConversion"/>
  </si>
  <si>
    <r>
      <rPr>
        <b/>
        <sz val="10"/>
        <color theme="0"/>
        <rFont val="宋体"/>
        <family val="3"/>
        <charset val="134"/>
      </rPr>
      <t>投放时段</t>
    </r>
    <phoneticPr fontId="1" type="noConversion"/>
  </si>
  <si>
    <r>
      <rPr>
        <sz val="10"/>
        <color theme="1"/>
        <rFont val="宋体"/>
        <family val="3"/>
        <charset val="134"/>
      </rPr>
      <t>预设区域</t>
    </r>
    <phoneticPr fontId="32" type="noConversion"/>
  </si>
  <si>
    <r>
      <rPr>
        <sz val="10"/>
        <color theme="1"/>
        <rFont val="宋体"/>
        <family val="3"/>
        <charset val="134"/>
      </rPr>
      <t>英语</t>
    </r>
    <phoneticPr fontId="32" type="noConversion"/>
  </si>
  <si>
    <r>
      <rPr>
        <sz val="10"/>
        <color theme="1"/>
        <rFont val="宋体"/>
        <family val="3"/>
        <charset val="134"/>
      </rPr>
      <t>预设时段</t>
    </r>
    <phoneticPr fontId="32" type="noConversion"/>
  </si>
  <si>
    <r>
      <rPr>
        <b/>
        <sz val="10"/>
        <color theme="1"/>
        <rFont val="宋体"/>
        <family val="3"/>
        <charset val="134"/>
      </rPr>
      <t>活动执行概览</t>
    </r>
    <phoneticPr fontId="1" type="noConversion"/>
  </si>
  <si>
    <r>
      <rPr>
        <b/>
        <sz val="10"/>
        <color theme="0"/>
        <rFont val="宋体"/>
        <family val="3"/>
        <charset val="134"/>
      </rPr>
      <t>活动名称</t>
    </r>
    <phoneticPr fontId="1" type="noConversion"/>
  </si>
  <si>
    <r>
      <rPr>
        <b/>
        <sz val="10"/>
        <color theme="0"/>
        <rFont val="宋体"/>
        <family val="3"/>
        <charset val="134"/>
      </rPr>
      <t>点击数</t>
    </r>
    <phoneticPr fontId="1" type="noConversion"/>
  </si>
  <si>
    <t>点击率</t>
    <phoneticPr fontId="1" type="noConversion"/>
  </si>
  <si>
    <r>
      <rPr>
        <b/>
        <sz val="10"/>
        <color theme="0"/>
        <rFont val="宋体"/>
        <family val="3"/>
        <charset val="134"/>
      </rPr>
      <t>转化数</t>
    </r>
    <phoneticPr fontId="32" type="noConversion"/>
  </si>
  <si>
    <r>
      <rPr>
        <b/>
        <sz val="10"/>
        <color theme="0"/>
        <rFont val="宋体"/>
        <family val="3"/>
        <charset val="134"/>
      </rPr>
      <t>转化金额</t>
    </r>
    <phoneticPr fontId="3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</si>
  <si>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</si>
  <si>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1" type="noConversion"/>
  </si>
  <si>
    <t>CPC</t>
    <phoneticPr fontId="1" type="noConversion"/>
  </si>
  <si>
    <t>Conv.
(1-per-click)
On Google Adx</t>
    <phoneticPr fontId="1" type="noConversion"/>
  </si>
  <si>
    <t>Conv.
(many-per-click)
On Google Adx</t>
    <phoneticPr fontId="1" type="noConversion"/>
  </si>
  <si>
    <r>
      <rPr>
        <sz val="10"/>
        <color theme="1"/>
        <rFont val="宋体"/>
        <family val="3"/>
        <charset val="134"/>
      </rPr>
      <t>新用户获取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3"/>
        <charset val="134"/>
      </rPr>
      <t>平板电脑</t>
    </r>
    <phoneticPr fontId="1" type="noConversion"/>
  </si>
  <si>
    <t>-</t>
    <phoneticPr fontId="32" type="noConversion"/>
  </si>
  <si>
    <r>
      <rPr>
        <sz val="10"/>
        <color theme="1"/>
        <rFont val="宋体"/>
        <family val="3"/>
        <charset val="134"/>
      </rPr>
      <t>新用户获取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3"/>
        <charset val="134"/>
      </rPr>
      <t>苹果配件</t>
    </r>
    <phoneticPr fontId="1" type="noConversion"/>
  </si>
  <si>
    <t>-</t>
    <phoneticPr fontId="32" type="noConversion"/>
  </si>
  <si>
    <t>-</t>
    <phoneticPr fontId="32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</si>
  <si>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</si>
  <si>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t>-</t>
    <phoneticPr fontId="32" type="noConversion"/>
  </si>
  <si>
    <t>-</t>
    <phoneticPr fontId="32" type="noConversion"/>
  </si>
  <si>
    <r>
      <rPr>
        <b/>
        <sz val="10"/>
        <color theme="1"/>
        <rFont val="宋体"/>
        <family val="3"/>
        <charset val="134"/>
      </rPr>
      <t>活动执行</t>
    </r>
    <r>
      <rPr>
        <b/>
        <sz val="10"/>
        <color theme="1"/>
        <rFont val="Arial"/>
        <family val="2"/>
      </rPr>
      <t>-</t>
    </r>
    <r>
      <rPr>
        <b/>
        <sz val="10"/>
        <color theme="1"/>
        <rFont val="宋体"/>
        <family val="3"/>
        <charset val="134"/>
      </rPr>
      <t>周</t>
    </r>
    <phoneticPr fontId="1" type="noConversion"/>
  </si>
  <si>
    <r>
      <rPr>
        <b/>
        <sz val="10"/>
        <color theme="0"/>
        <rFont val="宋体"/>
        <family val="3"/>
        <charset val="134"/>
      </rPr>
      <t>周</t>
    </r>
    <phoneticPr fontId="1" type="noConversion"/>
  </si>
  <si>
    <r>
      <rPr>
        <b/>
        <sz val="10"/>
        <color theme="0"/>
        <rFont val="宋体"/>
        <family val="3"/>
        <charset val="134"/>
      </rPr>
      <t>转化数</t>
    </r>
    <phoneticPr fontId="32" type="noConversion"/>
  </si>
  <si>
    <r>
      <rPr>
        <b/>
        <sz val="10"/>
        <color theme="0"/>
        <rFont val="宋体"/>
        <family val="3"/>
        <charset val="134"/>
      </rPr>
      <t>转化金额</t>
    </r>
    <phoneticPr fontId="3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</si>
  <si>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</si>
  <si>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r>
      <rPr>
        <sz val="10"/>
        <color theme="1"/>
        <rFont val="宋体"/>
        <family val="3"/>
        <charset val="134"/>
      </rPr>
      <t>第一周</t>
    </r>
    <r>
      <rPr>
        <sz val="10"/>
        <color theme="1"/>
        <rFont val="Arial"/>
        <family val="2"/>
      </rPr>
      <t>11-14</t>
    </r>
    <r>
      <rPr>
        <sz val="10"/>
        <color theme="1"/>
        <rFont val="宋体"/>
        <family val="3"/>
        <charset val="134"/>
      </rPr>
      <t>～</t>
    </r>
    <r>
      <rPr>
        <sz val="10"/>
        <color theme="1"/>
        <rFont val="Arial"/>
        <family val="2"/>
      </rPr>
      <t>11-18</t>
    </r>
    <phoneticPr fontId="1" type="noConversion"/>
  </si>
  <si>
    <r>
      <rPr>
        <sz val="10"/>
        <color theme="1"/>
        <rFont val="宋体"/>
        <family val="3"/>
        <charset val="134"/>
      </rPr>
      <t>第二周</t>
    </r>
    <r>
      <rPr>
        <sz val="10"/>
        <color theme="1"/>
        <rFont val="Arial"/>
        <family val="2"/>
      </rPr>
      <t>11-19</t>
    </r>
    <r>
      <rPr>
        <sz val="10"/>
        <color theme="1"/>
        <rFont val="宋体"/>
        <family val="3"/>
        <charset val="134"/>
      </rPr>
      <t>～</t>
    </r>
    <r>
      <rPr>
        <sz val="10"/>
        <color theme="1"/>
        <rFont val="Arial"/>
        <family val="2"/>
      </rPr>
      <t>11-25</t>
    </r>
    <phoneticPr fontId="1" type="noConversion"/>
  </si>
  <si>
    <r>
      <rPr>
        <sz val="10"/>
        <color theme="1"/>
        <rFont val="宋体"/>
        <family val="3"/>
        <charset val="134"/>
      </rPr>
      <t>第三周</t>
    </r>
    <r>
      <rPr>
        <sz val="10"/>
        <color theme="1"/>
        <rFont val="Arial"/>
        <family val="2"/>
      </rPr>
      <t>11-26</t>
    </r>
    <r>
      <rPr>
        <sz val="10"/>
        <color theme="1"/>
        <rFont val="宋体"/>
        <family val="3"/>
        <charset val="134"/>
      </rPr>
      <t>～</t>
    </r>
    <r>
      <rPr>
        <sz val="10"/>
        <color theme="1"/>
        <rFont val="Arial"/>
        <family val="2"/>
      </rPr>
      <t>12-02</t>
    </r>
    <phoneticPr fontId="32" type="noConversion"/>
  </si>
  <si>
    <r>
      <rPr>
        <sz val="10"/>
        <color theme="1"/>
        <rFont val="宋体"/>
        <family val="3"/>
        <charset val="134"/>
      </rPr>
      <t>第四周</t>
    </r>
    <r>
      <rPr>
        <sz val="10"/>
        <color theme="1"/>
        <rFont val="Arial"/>
        <family val="2"/>
      </rPr>
      <t>12-03</t>
    </r>
    <r>
      <rPr>
        <sz val="10"/>
        <color theme="1"/>
        <rFont val="宋体"/>
        <family val="3"/>
        <charset val="134"/>
      </rPr>
      <t>～</t>
    </r>
    <r>
      <rPr>
        <sz val="10"/>
        <color theme="1"/>
        <rFont val="Arial"/>
        <family val="2"/>
      </rPr>
      <t>12-09</t>
    </r>
    <phoneticPr fontId="32" type="noConversion"/>
  </si>
  <si>
    <t>-</t>
    <phoneticPr fontId="32" type="noConversion"/>
  </si>
  <si>
    <r>
      <rPr>
        <sz val="10"/>
        <color theme="1"/>
        <rFont val="宋体"/>
        <family val="3"/>
        <charset val="134"/>
      </rPr>
      <t>第五周</t>
    </r>
    <r>
      <rPr>
        <sz val="10"/>
        <color theme="1"/>
        <rFont val="Arial"/>
        <family val="2"/>
      </rPr>
      <t>12-10</t>
    </r>
    <r>
      <rPr>
        <sz val="10"/>
        <color theme="1"/>
        <rFont val="宋体"/>
        <family val="3"/>
        <charset val="134"/>
      </rPr>
      <t>～</t>
    </r>
    <r>
      <rPr>
        <sz val="10"/>
        <color theme="1"/>
        <rFont val="Arial"/>
        <family val="2"/>
      </rPr>
      <t>12-16</t>
    </r>
    <phoneticPr fontId="32" type="noConversion"/>
  </si>
  <si>
    <r>
      <rPr>
        <sz val="10"/>
        <color theme="1"/>
        <rFont val="宋体"/>
        <family val="3"/>
        <charset val="134"/>
      </rPr>
      <t>第六周</t>
    </r>
    <r>
      <rPr>
        <sz val="10"/>
        <color theme="1"/>
        <rFont val="Arial"/>
        <family val="2"/>
      </rPr>
      <t>12-17</t>
    </r>
    <r>
      <rPr>
        <sz val="10"/>
        <color theme="1"/>
        <rFont val="宋体"/>
        <family val="3"/>
        <charset val="134"/>
      </rPr>
      <t>～</t>
    </r>
    <r>
      <rPr>
        <sz val="10"/>
        <color theme="1"/>
        <rFont val="Arial"/>
        <family val="2"/>
      </rPr>
      <t>12-23</t>
    </r>
    <phoneticPr fontId="32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</si>
  <si>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</si>
  <si>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r>
      <rPr>
        <b/>
        <sz val="10"/>
        <color theme="1"/>
        <rFont val="宋体"/>
        <family val="3"/>
        <charset val="134"/>
      </rPr>
      <t>受众分析</t>
    </r>
    <phoneticPr fontId="1" type="noConversion"/>
  </si>
  <si>
    <r>
      <rPr>
        <b/>
        <sz val="10"/>
        <color theme="1"/>
        <rFont val="宋体"/>
        <family val="3"/>
        <charset val="134"/>
      </rPr>
      <t>投放区域分析</t>
    </r>
    <r>
      <rPr>
        <b/>
        <sz val="10"/>
        <color theme="1"/>
        <rFont val="Arial"/>
        <family val="2"/>
      </rPr>
      <t>-</t>
    </r>
    <r>
      <rPr>
        <b/>
        <sz val="10"/>
        <color theme="1"/>
        <rFont val="宋体"/>
        <family val="3"/>
        <charset val="134"/>
      </rPr>
      <t>平板电脑</t>
    </r>
    <phoneticPr fontId="1" type="noConversion"/>
  </si>
  <si>
    <r>
      <rPr>
        <b/>
        <sz val="10"/>
        <color theme="0"/>
        <rFont val="宋体"/>
        <family val="3"/>
        <charset val="134"/>
      </rPr>
      <t>独立访问用户</t>
    </r>
    <phoneticPr fontId="1" type="noConversion"/>
  </si>
  <si>
    <r>
      <rPr>
        <b/>
        <sz val="10"/>
        <color theme="0"/>
        <rFont val="宋体"/>
        <family val="3"/>
        <charset val="134"/>
      </rPr>
      <t>投放区域</t>
    </r>
    <phoneticPr fontId="1" type="noConversion"/>
  </si>
  <si>
    <r>
      <rPr>
        <b/>
        <sz val="10"/>
        <color theme="0"/>
        <rFont val="宋体"/>
        <family val="3"/>
        <charset val="134"/>
      </rPr>
      <t>点击率</t>
    </r>
    <phoneticPr fontId="1" type="noConversion"/>
  </si>
  <si>
    <t>Brazil</t>
    <phoneticPr fontId="1" type="noConversion"/>
  </si>
  <si>
    <t>United States</t>
    <phoneticPr fontId="1" type="noConversion"/>
  </si>
  <si>
    <r>
      <t>*</t>
    </r>
    <r>
      <rPr>
        <b/>
        <sz val="10"/>
        <color theme="1"/>
        <rFont val="宋体"/>
        <family val="3"/>
        <charset val="134"/>
      </rPr>
      <t>投放频次分析</t>
    </r>
    <r>
      <rPr>
        <b/>
        <sz val="10"/>
        <color theme="1"/>
        <rFont val="Arial"/>
        <family val="2"/>
      </rPr>
      <t>-</t>
    </r>
    <r>
      <rPr>
        <b/>
        <sz val="10"/>
        <color theme="1"/>
        <rFont val="宋体"/>
        <family val="3"/>
        <charset val="134"/>
      </rPr>
      <t>平板电脑</t>
    </r>
    <phoneticPr fontId="32" type="noConversion"/>
  </si>
  <si>
    <r>
      <rPr>
        <b/>
        <sz val="10"/>
        <color theme="0"/>
        <rFont val="宋体"/>
        <family val="3"/>
        <charset val="134"/>
      </rPr>
      <t>投放频次</t>
    </r>
    <phoneticPr fontId="32" type="noConversion"/>
  </si>
  <si>
    <r>
      <rPr>
        <b/>
        <sz val="10"/>
        <color theme="0"/>
        <rFont val="宋体"/>
        <family val="3"/>
        <charset val="134"/>
      </rPr>
      <t>独立访问用户</t>
    </r>
    <phoneticPr fontId="32" type="noConversion"/>
  </si>
  <si>
    <r>
      <rPr>
        <sz val="10"/>
        <color theme="1"/>
        <rFont val="宋体"/>
        <family val="3"/>
        <charset val="134"/>
      </rPr>
      <t>至少展示一次</t>
    </r>
    <phoneticPr fontId="32" type="noConversion"/>
  </si>
  <si>
    <r>
      <rPr>
        <b/>
        <sz val="10"/>
        <color theme="1"/>
        <rFont val="宋体"/>
        <family val="3"/>
        <charset val="134"/>
      </rPr>
      <t>投放区域分析</t>
    </r>
    <r>
      <rPr>
        <b/>
        <sz val="10"/>
        <color theme="1"/>
        <rFont val="Arial"/>
        <family val="2"/>
      </rPr>
      <t>-</t>
    </r>
    <r>
      <rPr>
        <b/>
        <sz val="10"/>
        <color theme="1"/>
        <rFont val="宋体"/>
        <family val="3"/>
        <charset val="134"/>
      </rPr>
      <t>苹果配件</t>
    </r>
    <phoneticPr fontId="1" type="noConversion"/>
  </si>
  <si>
    <r>
      <rPr>
        <sz val="10"/>
        <color theme="1"/>
        <rFont val="宋体"/>
        <family val="3"/>
        <charset val="134"/>
      </rPr>
      <t>至少展示二次</t>
    </r>
    <phoneticPr fontId="32" type="noConversion"/>
  </si>
  <si>
    <r>
      <rPr>
        <sz val="10"/>
        <color theme="1"/>
        <rFont val="宋体"/>
        <family val="3"/>
        <charset val="134"/>
      </rPr>
      <t>至少展示三次</t>
    </r>
    <phoneticPr fontId="32" type="noConversion"/>
  </si>
  <si>
    <r>
      <rPr>
        <sz val="10"/>
        <color theme="1"/>
        <rFont val="宋体"/>
        <family val="3"/>
        <charset val="134"/>
      </rPr>
      <t>至少展示四次</t>
    </r>
    <phoneticPr fontId="32" type="noConversion"/>
  </si>
  <si>
    <r>
      <rPr>
        <sz val="10"/>
        <color theme="1"/>
        <rFont val="宋体"/>
        <family val="3"/>
        <charset val="134"/>
      </rPr>
      <t>至少展示五次</t>
    </r>
    <phoneticPr fontId="32" type="noConversion"/>
  </si>
  <si>
    <r>
      <rPr>
        <sz val="10"/>
        <color theme="1"/>
        <rFont val="宋体"/>
        <family val="3"/>
        <charset val="134"/>
      </rPr>
      <t>至少展示六次</t>
    </r>
    <phoneticPr fontId="32" type="noConversion"/>
  </si>
  <si>
    <r>
      <rPr>
        <sz val="10"/>
        <color theme="1"/>
        <rFont val="宋体"/>
        <family val="3"/>
        <charset val="134"/>
      </rPr>
      <t>至少展示七次</t>
    </r>
    <phoneticPr fontId="32" type="noConversion"/>
  </si>
  <si>
    <r>
      <rPr>
        <sz val="10"/>
        <color theme="1"/>
        <rFont val="宋体"/>
        <family val="3"/>
        <charset val="134"/>
      </rPr>
      <t>至少展示八次或更多</t>
    </r>
    <phoneticPr fontId="32" type="noConversion"/>
  </si>
  <si>
    <r>
      <t>*</t>
    </r>
    <r>
      <rPr>
        <b/>
        <sz val="10"/>
        <color theme="1"/>
        <rFont val="宋体"/>
        <family val="3"/>
        <charset val="134"/>
      </rPr>
      <t>投放频次分析</t>
    </r>
    <r>
      <rPr>
        <b/>
        <sz val="10"/>
        <color theme="1"/>
        <rFont val="Arial"/>
        <family val="2"/>
      </rPr>
      <t>-</t>
    </r>
    <r>
      <rPr>
        <b/>
        <sz val="10"/>
        <color theme="1"/>
        <rFont val="宋体"/>
        <family val="3"/>
        <charset val="134"/>
      </rPr>
      <t>苹果配件</t>
    </r>
    <phoneticPr fontId="32" type="noConversion"/>
  </si>
  <si>
    <r>
      <rPr>
        <b/>
        <sz val="10"/>
        <color theme="1"/>
        <rFont val="宋体"/>
        <family val="3"/>
        <charset val="134"/>
      </rPr>
      <t>流量来源</t>
    </r>
    <r>
      <rPr>
        <b/>
        <sz val="10"/>
        <color theme="1"/>
        <rFont val="Arial"/>
        <family val="2"/>
      </rPr>
      <t>-</t>
    </r>
    <r>
      <rPr>
        <b/>
        <sz val="10"/>
        <color theme="1"/>
        <rFont val="宋体"/>
        <family val="3"/>
        <charset val="134"/>
      </rPr>
      <t>媒体类别（</t>
    </r>
    <r>
      <rPr>
        <b/>
        <sz val="10"/>
        <color theme="1"/>
        <rFont val="Arial"/>
        <family val="2"/>
      </rPr>
      <t>Top5</t>
    </r>
    <r>
      <rPr>
        <b/>
        <sz val="10"/>
        <color theme="1"/>
        <rFont val="宋体"/>
        <family val="3"/>
        <charset val="134"/>
      </rPr>
      <t>）</t>
    </r>
    <r>
      <rPr>
        <b/>
        <sz val="10"/>
        <color theme="1"/>
        <rFont val="Arial"/>
        <family val="2"/>
      </rPr>
      <t>-</t>
    </r>
    <r>
      <rPr>
        <b/>
        <sz val="10"/>
        <color theme="1"/>
        <rFont val="宋体"/>
        <family val="3"/>
        <charset val="134"/>
      </rPr>
      <t>平板电脑</t>
    </r>
    <phoneticPr fontId="32" type="noConversion"/>
  </si>
  <si>
    <r>
      <rPr>
        <b/>
        <sz val="10"/>
        <color theme="0"/>
        <rFont val="宋体"/>
        <family val="3"/>
        <charset val="134"/>
      </rPr>
      <t>类别名称</t>
    </r>
    <phoneticPr fontId="32" type="noConversion"/>
  </si>
  <si>
    <r>
      <rPr>
        <b/>
        <sz val="10"/>
        <color theme="0"/>
        <rFont val="宋体"/>
        <family val="3"/>
        <charset val="134"/>
      </rPr>
      <t>占比</t>
    </r>
    <phoneticPr fontId="1" type="noConversion"/>
  </si>
  <si>
    <t>Games &gt; Online Games</t>
    <phoneticPr fontId="32" type="noConversion"/>
  </si>
  <si>
    <t>Arts &amp; Entertainment &gt; Online Media</t>
    <phoneticPr fontId="32" type="noConversion"/>
  </si>
  <si>
    <r>
      <rPr>
        <b/>
        <sz val="10"/>
        <color theme="1"/>
        <rFont val="宋体"/>
        <family val="3"/>
        <charset val="134"/>
      </rPr>
      <t>执行总结</t>
    </r>
    <phoneticPr fontId="1" type="noConversion"/>
  </si>
  <si>
    <r>
      <rPr>
        <b/>
        <sz val="10"/>
        <color theme="1"/>
        <rFont val="宋体"/>
        <family val="3"/>
        <charset val="134"/>
      </rPr>
      <t>流量来源</t>
    </r>
    <r>
      <rPr>
        <b/>
        <sz val="10"/>
        <color theme="1"/>
        <rFont val="Arial"/>
        <family val="2"/>
      </rPr>
      <t>-</t>
    </r>
    <r>
      <rPr>
        <b/>
        <sz val="10"/>
        <color theme="1"/>
        <rFont val="宋体"/>
        <family val="3"/>
        <charset val="134"/>
      </rPr>
      <t>媒体类别（</t>
    </r>
    <r>
      <rPr>
        <b/>
        <sz val="10"/>
        <color theme="1"/>
        <rFont val="Arial"/>
        <family val="2"/>
      </rPr>
      <t>Top5</t>
    </r>
    <r>
      <rPr>
        <b/>
        <sz val="10"/>
        <color theme="1"/>
        <rFont val="宋体"/>
        <family val="3"/>
        <charset val="134"/>
      </rPr>
      <t>）</t>
    </r>
    <r>
      <rPr>
        <b/>
        <sz val="10"/>
        <color theme="1"/>
        <rFont val="Arial"/>
        <family val="2"/>
      </rPr>
      <t>-</t>
    </r>
    <r>
      <rPr>
        <b/>
        <sz val="10"/>
        <color theme="1"/>
        <rFont val="宋体"/>
        <family val="3"/>
        <charset val="134"/>
      </rPr>
      <t>苹果配件</t>
    </r>
    <phoneticPr fontId="32" type="noConversion"/>
  </si>
  <si>
    <t>Computers &amp; Electronics &gt; Computer Hardware</t>
    <phoneticPr fontId="32" type="noConversion"/>
  </si>
  <si>
    <t>News &gt; Technology News</t>
    <phoneticPr fontId="32" type="noConversion"/>
  </si>
  <si>
    <r>
      <rPr>
        <b/>
        <sz val="10"/>
        <color theme="1"/>
        <rFont val="宋体"/>
        <family val="3"/>
        <charset val="134"/>
      </rPr>
      <t>流量来源</t>
    </r>
    <r>
      <rPr>
        <b/>
        <sz val="10"/>
        <color theme="1"/>
        <rFont val="Arial"/>
        <family val="2"/>
      </rPr>
      <t>-</t>
    </r>
    <r>
      <rPr>
        <b/>
        <sz val="10"/>
        <color theme="1"/>
        <rFont val="宋体"/>
        <family val="3"/>
        <charset val="134"/>
      </rPr>
      <t>媒体（</t>
    </r>
    <r>
      <rPr>
        <b/>
        <sz val="10"/>
        <color theme="1"/>
        <rFont val="Arial"/>
        <family val="2"/>
      </rPr>
      <t>Top10</t>
    </r>
    <r>
      <rPr>
        <b/>
        <sz val="10"/>
        <color theme="1"/>
        <rFont val="宋体"/>
        <family val="3"/>
        <charset val="134"/>
      </rPr>
      <t>）</t>
    </r>
    <r>
      <rPr>
        <b/>
        <sz val="10"/>
        <color theme="1"/>
        <rFont val="Arial"/>
        <family val="2"/>
      </rPr>
      <t>-</t>
    </r>
    <r>
      <rPr>
        <b/>
        <sz val="10"/>
        <color theme="1"/>
        <rFont val="宋体"/>
        <family val="3"/>
        <charset val="134"/>
      </rPr>
      <t>平板电脑</t>
    </r>
    <phoneticPr fontId="1" type="noConversion"/>
  </si>
  <si>
    <r>
      <rPr>
        <b/>
        <sz val="10"/>
        <color theme="1"/>
        <rFont val="宋体"/>
        <family val="3"/>
        <charset val="134"/>
      </rPr>
      <t>流量来源</t>
    </r>
    <r>
      <rPr>
        <b/>
        <sz val="10"/>
        <color theme="1"/>
        <rFont val="Arial"/>
        <family val="2"/>
      </rPr>
      <t>-</t>
    </r>
    <r>
      <rPr>
        <b/>
        <sz val="10"/>
        <color theme="1"/>
        <rFont val="宋体"/>
        <family val="3"/>
        <charset val="134"/>
      </rPr>
      <t>媒体（</t>
    </r>
    <r>
      <rPr>
        <b/>
        <sz val="10"/>
        <color theme="1"/>
        <rFont val="Arial"/>
        <family val="2"/>
      </rPr>
      <t>Top10</t>
    </r>
    <r>
      <rPr>
        <b/>
        <sz val="10"/>
        <color theme="1"/>
        <rFont val="宋体"/>
        <family val="3"/>
        <charset val="134"/>
      </rPr>
      <t>）</t>
    </r>
    <r>
      <rPr>
        <b/>
        <sz val="10"/>
        <color theme="1"/>
        <rFont val="Arial"/>
        <family val="2"/>
      </rPr>
      <t>-</t>
    </r>
    <r>
      <rPr>
        <b/>
        <sz val="10"/>
        <color theme="1"/>
        <rFont val="宋体"/>
        <family val="3"/>
        <charset val="134"/>
      </rPr>
      <t>苹果配件</t>
    </r>
    <phoneticPr fontId="1" type="noConversion"/>
  </si>
  <si>
    <t>youtube.com</t>
    <phoneticPr fontId="1" type="noConversion"/>
  </si>
  <si>
    <t>box10.com</t>
    <phoneticPr fontId="1" type="noConversion"/>
  </si>
  <si>
    <t>flashgames247.com</t>
    <phoneticPr fontId="1" type="noConversion"/>
  </si>
  <si>
    <t>kizi.com</t>
    <phoneticPr fontId="1" type="noConversion"/>
  </si>
  <si>
    <t>starsue.net</t>
    <phoneticPr fontId="1" type="noConversion"/>
  </si>
  <si>
    <t>gamegab.com</t>
    <phoneticPr fontId="1" type="noConversion"/>
  </si>
  <si>
    <t>girlgames4u.com</t>
    <phoneticPr fontId="1" type="noConversion"/>
  </si>
  <si>
    <t>wambie.com</t>
    <phoneticPr fontId="1" type="noConversion"/>
  </si>
  <si>
    <t>xda-developers.com</t>
    <phoneticPr fontId="1" type="noConversion"/>
  </si>
  <si>
    <t>yokogames.com</t>
    <phoneticPr fontId="1" type="noConversion"/>
  </si>
  <si>
    <t>dressupmix.com</t>
    <phoneticPr fontId="1" type="noConversion"/>
  </si>
  <si>
    <t>mobile9.com</t>
    <phoneticPr fontId="1" type="noConversion"/>
  </si>
  <si>
    <t>dressupgal.com</t>
    <phoneticPr fontId="1" type="noConversion"/>
  </si>
  <si>
    <t>9gag.com</t>
    <phoneticPr fontId="1" type="noConversion"/>
  </si>
  <si>
    <r>
      <rPr>
        <b/>
        <sz val="10"/>
        <color theme="1"/>
        <rFont val="宋体"/>
        <family val="2"/>
      </rPr>
      <t>过程追溯：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宋体"/>
        <family val="2"/>
      </rPr>
      <t xml:space="preserve">这一阶段为测试投放阶段，整个过程基本分为两个步骤：
</t>
    </r>
    <r>
      <rPr>
        <sz val="10"/>
        <color theme="1"/>
        <rFont val="Arial"/>
        <family val="2"/>
      </rPr>
      <t>1.</t>
    </r>
    <r>
      <rPr>
        <sz val="10"/>
        <color theme="1"/>
        <rFont val="宋体"/>
        <family val="2"/>
      </rPr>
      <t xml:space="preserve">准备期：设计创意，部署跟踪代码，设计活动细节；
</t>
    </r>
    <r>
      <rPr>
        <sz val="10"/>
        <color theme="1"/>
        <rFont val="Arial"/>
        <family val="2"/>
      </rPr>
      <t>2.</t>
    </r>
    <r>
      <rPr>
        <sz val="10"/>
        <color theme="1"/>
        <rFont val="宋体"/>
        <family val="2"/>
      </rPr>
      <t xml:space="preserve">测试期：制定测试样本并进行测试投放，根据结果修正模型，调整执行策略，修正投放参数，优化创意；
</t>
    </r>
    <r>
      <rPr>
        <b/>
        <sz val="10"/>
        <color theme="1"/>
        <rFont val="宋体"/>
        <family val="3"/>
        <charset val="134"/>
      </rPr>
      <t>投放方法：</t>
    </r>
    <r>
      <rPr>
        <sz val="10"/>
        <color theme="1"/>
        <rFont val="Arial"/>
        <family val="2"/>
      </rPr>
      <t xml:space="preserve">
1.</t>
    </r>
    <r>
      <rPr>
        <sz val="10"/>
        <color theme="1"/>
        <rFont val="宋体"/>
        <family val="2"/>
      </rPr>
      <t xml:space="preserve">基本定向：地理定向、语言定向、投放时段设定；
</t>
    </r>
    <r>
      <rPr>
        <sz val="10"/>
        <color theme="1"/>
        <rFont val="Arial"/>
        <family val="2"/>
      </rPr>
      <t>2.</t>
    </r>
    <r>
      <rPr>
        <sz val="10"/>
        <color theme="1"/>
        <rFont val="宋体"/>
        <family val="2"/>
      </rPr>
      <t xml:space="preserve">人群定向：制定测试样本并进行测试投放，捕捉受众数据进行分析并建模，完成后对符合模型人群进行规模投放；
</t>
    </r>
    <r>
      <rPr>
        <sz val="10"/>
        <color theme="1"/>
        <rFont val="Arial"/>
        <family val="2"/>
      </rPr>
      <t>3.</t>
    </r>
    <r>
      <rPr>
        <sz val="10"/>
        <color theme="1"/>
        <rFont val="宋体"/>
        <family val="2"/>
      </rPr>
      <t xml:space="preserve">投放优化：智能出价算法、投放屏次控制、作弊网站屏蔽、预算分配控制、品牌保护；
</t>
    </r>
    <r>
      <rPr>
        <sz val="10"/>
        <color theme="1"/>
        <rFont val="Arial"/>
        <family val="2"/>
      </rPr>
      <t>4.</t>
    </r>
    <r>
      <rPr>
        <sz val="10"/>
        <color theme="1"/>
        <rFont val="宋体"/>
        <family val="2"/>
      </rPr>
      <t xml:space="preserve">白名单的挑选和投放；
</t>
    </r>
    <r>
      <rPr>
        <b/>
        <sz val="10"/>
        <color theme="1"/>
        <rFont val="宋体"/>
        <family val="3"/>
        <charset val="134"/>
      </rPr>
      <t xml:space="preserve">执行总结：
</t>
    </r>
    <r>
      <rPr>
        <sz val="10"/>
        <color theme="1"/>
        <rFont val="宋体"/>
        <family val="3"/>
        <charset val="134"/>
      </rPr>
      <t>在双方的紧密沟通和积极配合下，第一阶段的投放执行任务目前已经顺利完成。
整个阶段投放阶段持续了五周多点的时间，只对新用户投放，尝试了多个地区，多种媒体类别，多种定向方式结合的预设投放场景，从</t>
    </r>
    <r>
      <rPr>
        <sz val="10"/>
        <color theme="1"/>
        <rFont val="Arial"/>
        <family val="2"/>
      </rPr>
      <t>CPC</t>
    </r>
    <r>
      <rPr>
        <sz val="10"/>
        <color theme="1"/>
        <rFont val="宋体"/>
        <family val="3"/>
        <charset val="134"/>
      </rPr>
      <t>看，由投放初期较高的</t>
    </r>
    <r>
      <rPr>
        <sz val="10"/>
        <color theme="1"/>
        <rFont val="Arial"/>
        <family val="2"/>
      </rPr>
      <t>0.6</t>
    </r>
    <r>
      <rPr>
        <sz val="10"/>
        <color theme="1"/>
        <rFont val="宋体"/>
        <family val="3"/>
        <charset val="134"/>
      </rPr>
      <t>且不停波动，到投放过程中逐步降低，至后期基本稳定在</t>
    </r>
    <r>
      <rPr>
        <sz val="10"/>
        <color theme="1"/>
        <rFont val="Arial"/>
        <family val="2"/>
      </rPr>
      <t>0.4</t>
    </r>
    <r>
      <rPr>
        <sz val="10"/>
        <color theme="1"/>
        <rFont val="宋体"/>
        <family val="3"/>
        <charset val="134"/>
      </rPr>
      <t>并可保证每日稳定的流量获取；
成绩：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1.</t>
    </r>
    <r>
      <rPr>
        <sz val="10"/>
        <color theme="1"/>
        <rFont val="宋体"/>
        <family val="3"/>
        <charset val="134"/>
      </rPr>
      <t>完成了总计</t>
    </r>
    <r>
      <rPr>
        <sz val="10"/>
        <color theme="1"/>
        <rFont val="Arial"/>
        <family val="2"/>
      </rPr>
      <t>20,394,350</t>
    </r>
    <r>
      <rPr>
        <sz val="10"/>
        <color theme="1"/>
        <rFont val="宋体"/>
        <family val="3"/>
        <charset val="134"/>
      </rPr>
      <t>次的曝光，带来了共计</t>
    </r>
    <r>
      <rPr>
        <sz val="10"/>
        <color theme="1"/>
        <rFont val="Arial"/>
        <family val="2"/>
      </rPr>
      <t>13,115</t>
    </r>
    <r>
      <rPr>
        <sz val="10"/>
        <color theme="1"/>
        <rFont val="宋体"/>
        <family val="3"/>
        <charset val="134"/>
      </rPr>
      <t xml:space="preserve">次的点击，在规定时间内基本完成了预期目标；
</t>
    </r>
    <r>
      <rPr>
        <sz val="10"/>
        <color theme="1"/>
        <rFont val="Arial"/>
        <family val="2"/>
      </rPr>
      <t>2.</t>
    </r>
    <r>
      <rPr>
        <sz val="10"/>
        <color theme="1"/>
        <rFont val="宋体"/>
        <family val="3"/>
        <charset val="134"/>
      </rPr>
      <t>覆盖了共计</t>
    </r>
    <r>
      <rPr>
        <sz val="10"/>
        <color theme="1"/>
        <rFont val="Arial"/>
        <family val="2"/>
      </rPr>
      <t>8,463,750</t>
    </r>
    <r>
      <rPr>
        <sz val="10"/>
        <color theme="1"/>
        <rFont val="宋体"/>
        <family val="3"/>
        <charset val="134"/>
      </rPr>
      <t xml:space="preserve">个独立访问用户，全部为新用户投放（极少比例的还未来得及捕捉的网站用户）；
</t>
    </r>
    <r>
      <rPr>
        <sz val="10"/>
        <color theme="1"/>
        <rFont val="Arial"/>
        <family val="2"/>
      </rPr>
      <t>3.</t>
    </r>
    <r>
      <rPr>
        <sz val="10"/>
        <color theme="1"/>
        <rFont val="宋体"/>
        <family val="3"/>
        <charset val="134"/>
      </rPr>
      <t>积累了该项目相关的大量经验，磨合了双方的协作团队，为后一阶段的投放完成了大量的运营和数据准备；
不足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 xml:space="preserve">下期改进：
</t>
    </r>
    <r>
      <rPr>
        <sz val="10"/>
        <color theme="1"/>
        <rFont val="Arial"/>
        <family val="2"/>
      </rPr>
      <t>1.</t>
    </r>
    <r>
      <rPr>
        <sz val="10"/>
        <color theme="1"/>
        <rFont val="宋体"/>
        <family val="3"/>
        <charset val="134"/>
      </rPr>
      <t>投放结果和理想数据还有一定差距；</t>
    </r>
    <r>
      <rPr>
        <sz val="10"/>
        <color theme="1"/>
        <rFont val="Arial"/>
        <family val="2"/>
      </rPr>
      <t xml:space="preserve">
2.</t>
    </r>
    <r>
      <rPr>
        <sz val="10"/>
        <color theme="1"/>
        <rFont val="宋体"/>
        <family val="3"/>
        <charset val="134"/>
      </rPr>
      <t>目前收集的数据还比较单一，人群模型有欠缺，网站上的人群行为没能参与到人群分析算法当中（致使该部分数据无法用于完善基于网站</t>
    </r>
    <r>
      <rPr>
        <sz val="10"/>
        <color theme="1"/>
        <rFont val="Arial"/>
        <family val="2"/>
      </rPr>
      <t>visitor</t>
    </r>
    <r>
      <rPr>
        <sz val="10"/>
        <color theme="1"/>
        <rFont val="宋体"/>
        <family val="3"/>
        <charset val="134"/>
      </rPr>
      <t>和转化的人群模型，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用于新用户</t>
    </r>
    <r>
      <rPr>
        <sz val="10"/>
        <color theme="1"/>
        <rFont val="Arial"/>
        <family val="2"/>
      </rPr>
      <t>look-alike</t>
    </r>
    <r>
      <rPr>
        <sz val="10"/>
        <color theme="1"/>
        <rFont val="宋体"/>
        <family val="3"/>
        <charset val="134"/>
      </rPr>
      <t xml:space="preserve">）；
</t>
    </r>
    <r>
      <rPr>
        <sz val="10"/>
        <color theme="1"/>
        <rFont val="Arial"/>
        <family val="2"/>
      </rPr>
      <t>3.</t>
    </r>
    <r>
      <rPr>
        <sz val="10"/>
        <color theme="1"/>
        <rFont val="宋体"/>
        <family val="3"/>
        <charset val="134"/>
      </rPr>
      <t>尚需再进一步讨论转化跟踪机制，真正从效果上实现理想目标；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宋体"/>
        <family val="3"/>
        <charset val="134"/>
      </rPr>
      <t>相信经过第一阶段的工作，一定能让第二阶段有更好的执行效果。</t>
    </r>
    <phoneticPr fontId="24" type="noConversion"/>
  </si>
</sst>
</file>

<file path=xl/styles.xml><?xml version="1.0" encoding="utf-8"?>
<styleSheet xmlns="http://schemas.openxmlformats.org/spreadsheetml/2006/main">
  <numFmts count="3">
    <numFmt numFmtId="26" formatCode="\$#,##0.00_);[Red]\(\$#,##0.00\)"/>
    <numFmt numFmtId="176" formatCode="0.000%"/>
    <numFmt numFmtId="177" formatCode="0.0%"/>
  </numFmts>
  <fonts count="33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b/>
      <sz val="10"/>
      <color theme="1"/>
      <name val="宋体"/>
      <family val="2"/>
    </font>
    <font>
      <sz val="11"/>
      <color theme="1"/>
      <name val="宋体"/>
      <family val="3"/>
      <charset val="134"/>
    </font>
    <font>
      <sz val="10"/>
      <color theme="1"/>
      <name val="宋体"/>
      <family val="2"/>
    </font>
    <font>
      <sz val="9"/>
      <name val="宋体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7" borderId="2" applyNumberFormat="0" applyAlignment="0" applyProtection="0">
      <alignment vertical="center"/>
    </xf>
    <xf numFmtId="0" fontId="6" fillId="28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2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" fillId="32" borderId="8" applyNumberFormat="0" applyFont="0" applyAlignment="0" applyProtection="0">
      <alignment vertical="center"/>
    </xf>
    <xf numFmtId="0" fontId="15" fillId="27" borderId="9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14" fontId="19" fillId="34" borderId="1" xfId="0" applyNumberFormat="1" applyFont="1" applyFill="1" applyBorder="1">
      <alignment vertical="center"/>
    </xf>
    <xf numFmtId="26" fontId="19" fillId="34" borderId="1" xfId="0" applyNumberFormat="1" applyFont="1" applyFill="1" applyBorder="1" applyAlignment="1"/>
    <xf numFmtId="3" fontId="19" fillId="36" borderId="1" xfId="0" applyNumberFormat="1" applyFont="1" applyFill="1" applyBorder="1" applyAlignment="1"/>
    <xf numFmtId="26" fontId="19" fillId="36" borderId="1" xfId="0" applyNumberFormat="1" applyFont="1" applyFill="1" applyBorder="1" applyAlignment="1"/>
    <xf numFmtId="0" fontId="25" fillId="34" borderId="15" xfId="0" applyFont="1" applyFill="1" applyBorder="1">
      <alignment vertical="center"/>
    </xf>
    <xf numFmtId="0" fontId="25" fillId="34" borderId="0" xfId="0" applyFont="1" applyFill="1" applyBorder="1">
      <alignment vertical="center"/>
    </xf>
    <xf numFmtId="0" fontId="25" fillId="34" borderId="16" xfId="0" applyFont="1" applyFill="1" applyBorder="1">
      <alignment vertical="center"/>
    </xf>
    <xf numFmtId="0" fontId="26" fillId="35" borderId="0" xfId="0" applyFont="1" applyFill="1" applyBorder="1" applyAlignment="1">
      <alignment horizontal="left" vertical="center"/>
    </xf>
    <xf numFmtId="0" fontId="19" fillId="36" borderId="1" xfId="0" applyFont="1" applyFill="1" applyBorder="1" applyAlignment="1">
      <alignment horizontal="right" vertical="center"/>
    </xf>
    <xf numFmtId="0" fontId="25" fillId="34" borderId="0" xfId="0" applyFont="1" applyFill="1" applyAlignment="1">
      <alignment vertical="center"/>
    </xf>
    <xf numFmtId="176" fontId="19" fillId="34" borderId="1" xfId="39" applyNumberFormat="1" applyFont="1" applyFill="1" applyBorder="1">
      <alignment vertical="center"/>
    </xf>
    <xf numFmtId="176" fontId="19" fillId="34" borderId="0" xfId="39" applyNumberFormat="1" applyFont="1" applyFill="1" applyBorder="1">
      <alignment vertical="center"/>
    </xf>
    <xf numFmtId="3" fontId="19" fillId="34" borderId="1" xfId="0" applyNumberFormat="1" applyFont="1" applyFill="1" applyBorder="1" applyAlignment="1">
      <alignment horizontal="right"/>
    </xf>
    <xf numFmtId="176" fontId="19" fillId="37" borderId="1" xfId="39" applyNumberFormat="1" applyFont="1" applyFill="1" applyBorder="1">
      <alignment vertical="center"/>
    </xf>
    <xf numFmtId="0" fontId="28" fillId="33" borderId="1" xfId="0" applyFont="1" applyFill="1" applyBorder="1" applyAlignment="1">
      <alignment horizontal="center" vertical="center"/>
    </xf>
    <xf numFmtId="3" fontId="19" fillId="34" borderId="0" xfId="0" applyNumberFormat="1" applyFont="1" applyFill="1" applyBorder="1" applyAlignment="1">
      <alignment horizontal="right"/>
    </xf>
    <xf numFmtId="26" fontId="19" fillId="38" borderId="1" xfId="0" applyNumberFormat="1" applyFont="1" applyFill="1" applyBorder="1" applyAlignment="1"/>
    <xf numFmtId="3" fontId="19" fillId="38" borderId="1" xfId="0" applyNumberFormat="1" applyFont="1" applyFill="1" applyBorder="1" applyAlignment="1">
      <alignment horizontal="right"/>
    </xf>
    <xf numFmtId="0" fontId="28" fillId="33" borderId="1" xfId="0" applyFont="1" applyFill="1" applyBorder="1" applyAlignment="1">
      <alignment horizontal="center" vertical="center" wrapText="1"/>
    </xf>
    <xf numFmtId="26" fontId="19" fillId="38" borderId="1" xfId="0" applyNumberFormat="1" applyFont="1" applyFill="1" applyBorder="1" applyAlignment="1">
      <alignment horizontal="right"/>
    </xf>
    <xf numFmtId="0" fontId="25" fillId="35" borderId="0" xfId="0" applyFont="1" applyFill="1" applyBorder="1">
      <alignment vertical="center"/>
    </xf>
    <xf numFmtId="0" fontId="22" fillId="33" borderId="12" xfId="0" applyFont="1" applyFill="1" applyBorder="1" applyAlignment="1">
      <alignment horizontal="center" vertical="center"/>
    </xf>
    <xf numFmtId="0" fontId="22" fillId="33" borderId="13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left" vertical="center" wrapText="1"/>
    </xf>
    <xf numFmtId="0" fontId="19" fillId="34" borderId="13" xfId="0" applyFont="1" applyFill="1" applyBorder="1" applyAlignment="1">
      <alignment horizontal="left" vertical="center" wrapText="1"/>
    </xf>
    <xf numFmtId="0" fontId="19" fillId="34" borderId="14" xfId="0" applyFont="1" applyFill="1" applyBorder="1" applyAlignment="1">
      <alignment horizontal="left" vertical="center" wrapText="1"/>
    </xf>
    <xf numFmtId="0" fontId="19" fillId="34" borderId="15" xfId="0" applyFont="1" applyFill="1" applyBorder="1" applyAlignment="1">
      <alignment horizontal="left" vertical="center" wrapText="1"/>
    </xf>
    <xf numFmtId="0" fontId="19" fillId="34" borderId="0" xfId="0" applyFont="1" applyFill="1" applyBorder="1" applyAlignment="1">
      <alignment horizontal="left" vertical="center" wrapText="1"/>
    </xf>
    <xf numFmtId="0" fontId="19" fillId="34" borderId="16" xfId="0" applyFont="1" applyFill="1" applyBorder="1" applyAlignment="1">
      <alignment horizontal="left" vertical="center" wrapText="1"/>
    </xf>
    <xf numFmtId="0" fontId="19" fillId="34" borderId="17" xfId="0" applyFont="1" applyFill="1" applyBorder="1" applyAlignment="1">
      <alignment horizontal="left" vertical="center" wrapText="1"/>
    </xf>
    <xf numFmtId="0" fontId="19" fillId="34" borderId="11" xfId="0" applyFont="1" applyFill="1" applyBorder="1" applyAlignment="1">
      <alignment horizontal="left" vertical="center" wrapText="1"/>
    </xf>
    <xf numFmtId="0" fontId="19" fillId="34" borderId="18" xfId="0" applyFont="1" applyFill="1" applyBorder="1" applyAlignment="1">
      <alignment horizontal="left" vertical="center" wrapText="1"/>
    </xf>
    <xf numFmtId="3" fontId="19" fillId="36" borderId="1" xfId="0" applyNumberFormat="1" applyFont="1" applyFill="1" applyBorder="1" applyAlignment="1">
      <alignment horizontal="right"/>
    </xf>
    <xf numFmtId="26" fontId="19" fillId="36" borderId="1" xfId="0" applyNumberFormat="1" applyFont="1" applyFill="1" applyBorder="1" applyAlignment="1">
      <alignment horizontal="right"/>
    </xf>
    <xf numFmtId="0" fontId="25" fillId="34" borderId="0" xfId="0" applyFont="1" applyFill="1">
      <alignment vertical="center"/>
    </xf>
    <xf numFmtId="14" fontId="19" fillId="34" borderId="1" xfId="0" applyNumberFormat="1" applyFont="1" applyFill="1" applyBorder="1" applyAlignment="1">
      <alignment horizontal="right" vertical="center"/>
    </xf>
    <xf numFmtId="0" fontId="26" fillId="35" borderId="0" xfId="0" applyFont="1" applyFill="1" applyBorder="1">
      <alignment vertical="center"/>
    </xf>
    <xf numFmtId="3" fontId="19" fillId="34" borderId="1" xfId="0" applyNumberFormat="1" applyFont="1" applyFill="1" applyBorder="1" applyAlignment="1">
      <alignment horizontal="left"/>
    </xf>
    <xf numFmtId="0" fontId="25" fillId="35" borderId="0" xfId="0" applyFont="1" applyFill="1">
      <alignment vertical="center"/>
    </xf>
    <xf numFmtId="0" fontId="28" fillId="33" borderId="19" xfId="0" applyFont="1" applyFill="1" applyBorder="1" applyAlignment="1">
      <alignment horizontal="center" vertical="center"/>
    </xf>
    <xf numFmtId="0" fontId="28" fillId="33" borderId="20" xfId="0" applyFont="1" applyFill="1" applyBorder="1" applyAlignment="1">
      <alignment horizontal="center" vertical="center"/>
    </xf>
    <xf numFmtId="0" fontId="28" fillId="33" borderId="21" xfId="0" applyFont="1" applyFill="1" applyBorder="1" applyAlignment="1">
      <alignment horizontal="center" vertical="center"/>
    </xf>
    <xf numFmtId="3" fontId="19" fillId="34" borderId="19" xfId="0" applyNumberFormat="1" applyFont="1" applyFill="1" applyBorder="1" applyAlignment="1">
      <alignment horizontal="left"/>
    </xf>
    <xf numFmtId="3" fontId="19" fillId="34" borderId="20" xfId="0" applyNumberFormat="1" applyFont="1" applyFill="1" applyBorder="1" applyAlignment="1">
      <alignment horizontal="left"/>
    </xf>
    <xf numFmtId="3" fontId="19" fillId="34" borderId="21" xfId="0" applyNumberFormat="1" applyFont="1" applyFill="1" applyBorder="1" applyAlignment="1">
      <alignment horizontal="left"/>
    </xf>
    <xf numFmtId="0" fontId="25" fillId="34" borderId="17" xfId="0" applyFont="1" applyFill="1" applyBorder="1">
      <alignment vertical="center"/>
    </xf>
    <xf numFmtId="0" fontId="25" fillId="34" borderId="11" xfId="0" applyFont="1" applyFill="1" applyBorder="1">
      <alignment vertical="center"/>
    </xf>
    <xf numFmtId="0" fontId="25" fillId="34" borderId="18" xfId="0" applyFont="1" applyFill="1" applyBorder="1">
      <alignment vertical="center"/>
    </xf>
    <xf numFmtId="177" fontId="19" fillId="34" borderId="1" xfId="39" applyNumberFormat="1" applyFont="1" applyFill="1" applyBorder="1">
      <alignment vertical="center"/>
    </xf>
    <xf numFmtId="3" fontId="19" fillId="34" borderId="19" xfId="0" applyNumberFormat="1" applyFont="1" applyFill="1" applyBorder="1" applyAlignment="1">
      <alignment horizontal="left"/>
    </xf>
    <xf numFmtId="3" fontId="19" fillId="34" borderId="20" xfId="0" applyNumberFormat="1" applyFont="1" applyFill="1" applyBorder="1" applyAlignment="1">
      <alignment horizontal="left"/>
    </xf>
    <xf numFmtId="3" fontId="19" fillId="34" borderId="21" xfId="0" applyNumberFormat="1" applyFont="1" applyFill="1" applyBorder="1" applyAlignment="1">
      <alignment horizontal="left"/>
    </xf>
    <xf numFmtId="3" fontId="19" fillId="34" borderId="19" xfId="0" applyNumberFormat="1" applyFont="1" applyFill="1" applyBorder="1" applyAlignment="1">
      <alignment horizontal="left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O95"/>
  <sheetViews>
    <sheetView tabSelected="1" topLeftCell="A66" workbookViewId="0">
      <selection activeCell="C69" sqref="C69:N92"/>
    </sheetView>
  </sheetViews>
  <sheetFormatPr defaultColWidth="9" defaultRowHeight="14.25"/>
  <cols>
    <col min="1" max="2" width="2.625" style="36" customWidth="1"/>
    <col min="3" max="3" width="16.5" style="36" customWidth="1"/>
    <col min="4" max="4" width="11.125" style="36" customWidth="1"/>
    <col min="5" max="5" width="11.875" style="36" customWidth="1"/>
    <col min="6" max="6" width="8.5" style="36" customWidth="1"/>
    <col min="7" max="7" width="8.5" style="36" bestFit="1" customWidth="1"/>
    <col min="8" max="8" width="18.5" style="36" customWidth="1"/>
    <col min="9" max="9" width="12.375" style="36" customWidth="1"/>
    <col min="10" max="10" width="6.375" style="36" customWidth="1"/>
    <col min="11" max="11" width="6.875" style="36" customWidth="1"/>
    <col min="12" max="12" width="14" style="36" bestFit="1" customWidth="1"/>
    <col min="13" max="13" width="14.625" style="36" bestFit="1" customWidth="1"/>
    <col min="14" max="14" width="14" style="36" bestFit="1" customWidth="1"/>
    <col min="15" max="15" width="2.625" style="36" customWidth="1"/>
    <col min="16" max="16384" width="9" style="36"/>
  </cols>
  <sheetData>
    <row r="2" spans="2:15" ht="15.75">
      <c r="B2" s="22" t="s">
        <v>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4"/>
    </row>
    <row r="3" spans="2:15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</row>
    <row r="4" spans="2:15">
      <c r="B4" s="5"/>
      <c r="C4" s="8" t="s">
        <v>15</v>
      </c>
      <c r="D4" s="6"/>
      <c r="E4" s="6"/>
      <c r="F4" s="8" t="s">
        <v>16</v>
      </c>
      <c r="G4" s="6"/>
      <c r="H4" s="6"/>
      <c r="I4" s="6"/>
      <c r="J4" s="6"/>
      <c r="K4" s="6"/>
      <c r="L4" s="6"/>
      <c r="M4" s="6"/>
      <c r="N4" s="6"/>
      <c r="O4" s="7"/>
    </row>
    <row r="5" spans="2:15">
      <c r="B5" s="5"/>
      <c r="C5" s="15" t="s">
        <v>17</v>
      </c>
      <c r="D5" s="15" t="s">
        <v>18</v>
      </c>
      <c r="E5" s="6"/>
      <c r="F5" s="15" t="s">
        <v>19</v>
      </c>
      <c r="G5" s="15" t="s">
        <v>20</v>
      </c>
      <c r="H5" s="15" t="s">
        <v>21</v>
      </c>
      <c r="I5" s="6"/>
      <c r="J5" s="6"/>
      <c r="K5" s="6"/>
      <c r="L5" s="6"/>
      <c r="M5" s="6"/>
      <c r="N5" s="6"/>
      <c r="O5" s="7"/>
    </row>
    <row r="6" spans="2:15">
      <c r="B6" s="5"/>
      <c r="C6" s="1">
        <v>41228</v>
      </c>
      <c r="D6" s="1">
        <v>41266</v>
      </c>
      <c r="E6" s="6"/>
      <c r="F6" s="37" t="s">
        <v>22</v>
      </c>
      <c r="G6" s="37" t="s">
        <v>23</v>
      </c>
      <c r="H6" s="37" t="s">
        <v>24</v>
      </c>
      <c r="I6" s="6"/>
      <c r="J6" s="6"/>
      <c r="K6" s="6"/>
      <c r="L6" s="6"/>
      <c r="M6" s="6"/>
      <c r="N6" s="6"/>
      <c r="O6" s="7"/>
    </row>
    <row r="7" spans="2:15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/>
    </row>
    <row r="8" spans="2:15">
      <c r="B8" s="5"/>
      <c r="C8" s="38" t="s">
        <v>25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</row>
    <row r="9" spans="2:15" ht="38.25">
      <c r="B9" s="5"/>
      <c r="C9" s="15" t="s">
        <v>26</v>
      </c>
      <c r="D9" s="15" t="s">
        <v>3</v>
      </c>
      <c r="E9" s="15" t="s">
        <v>27</v>
      </c>
      <c r="F9" s="15" t="s">
        <v>28</v>
      </c>
      <c r="G9" s="15" t="s">
        <v>29</v>
      </c>
      <c r="H9" s="15" t="s">
        <v>30</v>
      </c>
      <c r="I9" s="15" t="s">
        <v>31</v>
      </c>
      <c r="J9" s="15" t="s">
        <v>32</v>
      </c>
      <c r="K9" s="15" t="s">
        <v>33</v>
      </c>
      <c r="L9" s="19" t="s">
        <v>34</v>
      </c>
      <c r="M9" s="19" t="s">
        <v>35</v>
      </c>
      <c r="N9" s="19" t="s">
        <v>2</v>
      </c>
      <c r="O9" s="7"/>
    </row>
    <row r="10" spans="2:15">
      <c r="B10" s="5"/>
      <c r="C10" s="39" t="s">
        <v>36</v>
      </c>
      <c r="D10" s="13">
        <f>9774715+43383</f>
        <v>9818098</v>
      </c>
      <c r="E10" s="13">
        <v>5758</v>
      </c>
      <c r="F10" s="11">
        <f t="shared" ref="F10" si="0">E10/D10</f>
        <v>5.8646796966174101E-4</v>
      </c>
      <c r="G10" s="13" t="s">
        <v>37</v>
      </c>
      <c r="H10" s="20" t="s">
        <v>37</v>
      </c>
      <c r="I10" s="17">
        <v>2749.5708999999997</v>
      </c>
      <c r="J10" s="2">
        <f>I10/D10*1000</f>
        <v>0.28005127877110209</v>
      </c>
      <c r="K10" s="2">
        <f>I10/E10</f>
        <v>0.47752186523098294</v>
      </c>
      <c r="L10" s="13">
        <v>1689</v>
      </c>
      <c r="M10" s="13">
        <v>5986</v>
      </c>
      <c r="N10" s="13">
        <v>69822</v>
      </c>
      <c r="O10" s="7"/>
    </row>
    <row r="11" spans="2:15">
      <c r="B11" s="5"/>
      <c r="C11" s="39" t="s">
        <v>38</v>
      </c>
      <c r="D11" s="13">
        <f>10575325+927</f>
        <v>10576252</v>
      </c>
      <c r="E11" s="13">
        <v>7357</v>
      </c>
      <c r="F11" s="11">
        <f>E11/D11</f>
        <v>6.9561504396831696E-4</v>
      </c>
      <c r="G11" s="13" t="s">
        <v>39</v>
      </c>
      <c r="H11" s="20" t="s">
        <v>40</v>
      </c>
      <c r="I11" s="17">
        <v>3282.0584800000001</v>
      </c>
      <c r="J11" s="2">
        <f>I11/D11*1000</f>
        <v>0.31032340000975772</v>
      </c>
      <c r="K11" s="2">
        <f t="shared" ref="K11:K12" si="1">I11/E11</f>
        <v>0.44611369851841787</v>
      </c>
      <c r="L11" s="13">
        <v>2478</v>
      </c>
      <c r="M11" s="13">
        <v>10508</v>
      </c>
      <c r="N11" s="13">
        <v>126973</v>
      </c>
      <c r="O11" s="7"/>
    </row>
    <row r="12" spans="2:15">
      <c r="B12" s="5"/>
      <c r="C12" s="9" t="s">
        <v>41</v>
      </c>
      <c r="D12" s="3">
        <f>SUM(D10:D11)</f>
        <v>20394350</v>
      </c>
      <c r="E12" s="3">
        <f>SUM(E10:E11)</f>
        <v>13115</v>
      </c>
      <c r="F12" s="14">
        <f>E12/D12</f>
        <v>6.4307026210690707E-4</v>
      </c>
      <c r="G12" s="34" t="s">
        <v>42</v>
      </c>
      <c r="H12" s="35" t="s">
        <v>43</v>
      </c>
      <c r="I12" s="4">
        <f>SUM(I10:I11)</f>
        <v>6031.6293800000003</v>
      </c>
      <c r="J12" s="4">
        <f>I12/D12*1000</f>
        <v>0.29575001801969664</v>
      </c>
      <c r="K12" s="4">
        <f t="shared" si="1"/>
        <v>0.45990311704155551</v>
      </c>
      <c r="L12" s="3">
        <f>SUM(L10:L11)</f>
        <v>4167</v>
      </c>
      <c r="M12" s="3">
        <f>SUM(M10:M11)</f>
        <v>16494</v>
      </c>
      <c r="N12" s="3">
        <f>SUM(N10:N11)</f>
        <v>196795</v>
      </c>
      <c r="O12" s="7"/>
    </row>
    <row r="13" spans="2:15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</row>
    <row r="14" spans="2:15">
      <c r="B14" s="5"/>
      <c r="C14" s="38" t="s">
        <v>44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</row>
    <row r="15" spans="2:15">
      <c r="B15" s="5"/>
      <c r="C15" s="15" t="s">
        <v>45</v>
      </c>
      <c r="D15" s="15" t="s">
        <v>3</v>
      </c>
      <c r="E15" s="15" t="s">
        <v>27</v>
      </c>
      <c r="F15" s="15" t="s">
        <v>4</v>
      </c>
      <c r="G15" s="15" t="s">
        <v>46</v>
      </c>
      <c r="H15" s="15" t="s">
        <v>47</v>
      </c>
      <c r="I15" s="15" t="s">
        <v>48</v>
      </c>
      <c r="J15" s="15" t="s">
        <v>5</v>
      </c>
      <c r="K15" s="15" t="s">
        <v>33</v>
      </c>
      <c r="L15" s="6"/>
      <c r="M15" s="6"/>
      <c r="N15" s="6"/>
      <c r="O15" s="7"/>
    </row>
    <row r="16" spans="2:15">
      <c r="B16" s="5"/>
      <c r="C16" s="39" t="s">
        <v>49</v>
      </c>
      <c r="D16" s="13">
        <v>836784</v>
      </c>
      <c r="E16" s="13">
        <v>468</v>
      </c>
      <c r="F16" s="11">
        <v>5.5928411633109618E-4</v>
      </c>
      <c r="G16" s="13">
        <v>38</v>
      </c>
      <c r="H16" s="20">
        <v>663.59</v>
      </c>
      <c r="I16" s="17">
        <v>271.62</v>
      </c>
      <c r="J16" s="2">
        <v>0.32459989674754774</v>
      </c>
      <c r="K16" s="2">
        <v>0.58038461538461539</v>
      </c>
      <c r="L16" s="6"/>
      <c r="M16" s="6"/>
      <c r="N16" s="6"/>
      <c r="O16" s="7"/>
    </row>
    <row r="17" spans="2:15">
      <c r="B17" s="5"/>
      <c r="C17" s="39" t="s">
        <v>50</v>
      </c>
      <c r="D17" s="13">
        <v>1153722</v>
      </c>
      <c r="E17" s="13">
        <v>835</v>
      </c>
      <c r="F17" s="11">
        <v>7.3238611395927931E-4</v>
      </c>
      <c r="G17" s="13">
        <v>61</v>
      </c>
      <c r="H17" s="20">
        <v>707.06</v>
      </c>
      <c r="I17" s="17">
        <v>377.93</v>
      </c>
      <c r="J17" s="2">
        <v>0.33167004207492445</v>
      </c>
      <c r="K17" s="2">
        <v>0.45286227544910185</v>
      </c>
      <c r="L17" s="6"/>
      <c r="M17" s="6"/>
      <c r="N17" s="6"/>
      <c r="O17" s="7"/>
    </row>
    <row r="18" spans="2:15">
      <c r="B18" s="5"/>
      <c r="C18" s="39" t="s">
        <v>51</v>
      </c>
      <c r="D18" s="13">
        <v>4363514</v>
      </c>
      <c r="E18" s="13">
        <v>2140</v>
      </c>
      <c r="F18" s="11">
        <v>4.8997285898704868E-4</v>
      </c>
      <c r="G18" s="13" t="s">
        <v>39</v>
      </c>
      <c r="H18" s="20" t="s">
        <v>37</v>
      </c>
      <c r="I18" s="17">
        <v>1319.84</v>
      </c>
      <c r="J18" s="2">
        <v>0.30246771690752411</v>
      </c>
      <c r="K18" s="2">
        <v>0.61731524789522918</v>
      </c>
      <c r="L18" s="6"/>
      <c r="M18" s="6"/>
      <c r="N18" s="6"/>
      <c r="O18" s="7"/>
    </row>
    <row r="19" spans="2:15">
      <c r="B19" s="5"/>
      <c r="C19" s="39" t="s">
        <v>52</v>
      </c>
      <c r="D19" s="13">
        <v>4395924</v>
      </c>
      <c r="E19" s="13">
        <v>3313</v>
      </c>
      <c r="F19" s="11">
        <v>7.5365270191204395E-4</v>
      </c>
      <c r="G19" s="13" t="s">
        <v>37</v>
      </c>
      <c r="H19" s="20" t="s">
        <v>53</v>
      </c>
      <c r="I19" s="17">
        <v>1378.84</v>
      </c>
      <c r="J19" s="2">
        <v>0.31366101870732982</v>
      </c>
      <c r="K19" s="2">
        <v>0.41618774524600066</v>
      </c>
      <c r="L19" s="6"/>
      <c r="M19" s="6"/>
      <c r="N19" s="6"/>
      <c r="O19" s="7"/>
    </row>
    <row r="20" spans="2:15">
      <c r="B20" s="5"/>
      <c r="C20" s="39" t="s">
        <v>54</v>
      </c>
      <c r="D20" s="13">
        <v>4124533</v>
      </c>
      <c r="E20" s="13">
        <v>2847</v>
      </c>
      <c r="F20" s="11">
        <v>6.9026013133126373E-4</v>
      </c>
      <c r="G20" s="13" t="s">
        <v>39</v>
      </c>
      <c r="H20" s="20" t="s">
        <v>40</v>
      </c>
      <c r="I20" s="17">
        <v>1231.76</v>
      </c>
      <c r="J20" s="2">
        <v>0.29864248598386439</v>
      </c>
      <c r="K20" s="2">
        <v>0.43265208640674396</v>
      </c>
      <c r="L20" s="6"/>
      <c r="M20" s="6"/>
      <c r="N20" s="6"/>
      <c r="O20" s="7"/>
    </row>
    <row r="21" spans="2:15">
      <c r="B21" s="5"/>
      <c r="C21" s="39" t="s">
        <v>55</v>
      </c>
      <c r="D21" s="13">
        <v>5519873</v>
      </c>
      <c r="E21" s="13">
        <v>3512</v>
      </c>
      <c r="F21" s="11">
        <v>6.3784611720373995E-4</v>
      </c>
      <c r="G21" s="13" t="s">
        <v>37</v>
      </c>
      <c r="H21" s="20" t="s">
        <v>37</v>
      </c>
      <c r="I21" s="17">
        <v>1451.64</v>
      </c>
      <c r="J21" s="2">
        <v>0.26359519040016421</v>
      </c>
      <c r="K21" s="2">
        <v>0.41325828172434731</v>
      </c>
      <c r="L21" s="6"/>
      <c r="M21" s="6"/>
      <c r="N21" s="6"/>
      <c r="O21" s="7"/>
    </row>
    <row r="22" spans="2:15">
      <c r="B22" s="5"/>
      <c r="C22" s="9" t="s">
        <v>56</v>
      </c>
      <c r="D22" s="3">
        <f>SUM(D16:D21)</f>
        <v>20394350</v>
      </c>
      <c r="E22" s="3">
        <f>SUM(E16:E21)</f>
        <v>13115</v>
      </c>
      <c r="F22" s="14">
        <f>E22/D22</f>
        <v>6.4307026210690707E-4</v>
      </c>
      <c r="G22" s="3">
        <f>SUM(G16:G17)</f>
        <v>99</v>
      </c>
      <c r="H22" s="4">
        <f>SUM(H16:H17)</f>
        <v>1370.65</v>
      </c>
      <c r="I22" s="4">
        <f>SUM(I16:I21)</f>
        <v>6031.63</v>
      </c>
      <c r="J22" s="4">
        <f>I22/D22*1000</f>
        <v>0.2957500484202733</v>
      </c>
      <c r="K22" s="4">
        <f t="shared" ref="K22" si="2">I22/E22</f>
        <v>0.45990316431566908</v>
      </c>
      <c r="L22" s="6"/>
      <c r="M22" s="6"/>
      <c r="N22" s="6"/>
      <c r="O22" s="7"/>
    </row>
    <row r="23" spans="2:15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7"/>
    </row>
    <row r="24" spans="2:15">
      <c r="B24" s="5"/>
      <c r="C24" s="38" t="s">
        <v>57</v>
      </c>
      <c r="D24" s="6"/>
      <c r="E24" s="6"/>
      <c r="F24" s="6"/>
      <c r="G24" s="6"/>
      <c r="H24" s="38" t="s">
        <v>58</v>
      </c>
      <c r="I24" s="21"/>
      <c r="J24" s="6"/>
      <c r="K24" s="6"/>
      <c r="L24" s="6"/>
      <c r="M24" s="6"/>
      <c r="N24" s="6"/>
      <c r="O24" s="7"/>
    </row>
    <row r="25" spans="2:15">
      <c r="B25" s="5"/>
      <c r="C25" s="15" t="s">
        <v>26</v>
      </c>
      <c r="D25" s="15" t="s">
        <v>3</v>
      </c>
      <c r="E25" s="15" t="s">
        <v>59</v>
      </c>
      <c r="F25" s="15" t="s">
        <v>27</v>
      </c>
      <c r="H25" s="15" t="s">
        <v>60</v>
      </c>
      <c r="I25" s="15" t="s">
        <v>3</v>
      </c>
      <c r="J25" s="15" t="s">
        <v>27</v>
      </c>
      <c r="K25" s="15" t="s">
        <v>61</v>
      </c>
      <c r="L25" s="15" t="s">
        <v>33</v>
      </c>
      <c r="M25" s="15" t="s">
        <v>5</v>
      </c>
      <c r="N25" s="15" t="s">
        <v>6</v>
      </c>
      <c r="O25" s="7"/>
    </row>
    <row r="26" spans="2:15">
      <c r="B26" s="5"/>
      <c r="C26" s="39" t="s">
        <v>36</v>
      </c>
      <c r="D26" s="13">
        <f>9774715+43383</f>
        <v>9818098</v>
      </c>
      <c r="E26" s="18">
        <v>4732465</v>
      </c>
      <c r="F26" s="13">
        <v>5758</v>
      </c>
      <c r="H26" s="39" t="s">
        <v>62</v>
      </c>
      <c r="I26" s="13">
        <v>4675384</v>
      </c>
      <c r="J26" s="13">
        <v>3107</v>
      </c>
      <c r="K26" s="11">
        <f>J26/I26</f>
        <v>6.645443454484166E-4</v>
      </c>
      <c r="L26" s="2">
        <f>N26/J26</f>
        <v>0.41371097521725142</v>
      </c>
      <c r="M26" s="2">
        <f>N26/I26*1000</f>
        <v>0.27492928923057441</v>
      </c>
      <c r="N26" s="17">
        <v>1285.4000000000001</v>
      </c>
      <c r="O26" s="7"/>
    </row>
    <row r="27" spans="2:15">
      <c r="B27" s="5"/>
      <c r="C27" s="39" t="s">
        <v>38</v>
      </c>
      <c r="D27" s="13">
        <f>10575325+927</f>
        <v>10576252</v>
      </c>
      <c r="E27" s="18">
        <v>5198011</v>
      </c>
      <c r="F27" s="13">
        <v>7357</v>
      </c>
      <c r="H27" s="39" t="s">
        <v>8</v>
      </c>
      <c r="I27" s="13">
        <v>2650642</v>
      </c>
      <c r="J27" s="13">
        <v>2004</v>
      </c>
      <c r="K27" s="11">
        <f>J27/I27</f>
        <v>7.5604325291759504E-4</v>
      </c>
      <c r="L27" s="2">
        <f>N27/J27</f>
        <v>0.32587325349301394</v>
      </c>
      <c r="M27" s="2">
        <f t="shared" ref="M27:M30" si="3">N27/I27*1000</f>
        <v>0.24637427460969832</v>
      </c>
      <c r="N27" s="17">
        <v>653.04999999999995</v>
      </c>
      <c r="O27" s="7"/>
    </row>
    <row r="28" spans="2:15">
      <c r="B28" s="5"/>
      <c r="C28" s="9" t="s">
        <v>56</v>
      </c>
      <c r="D28" s="3">
        <f>SUM(D26:D27)</f>
        <v>20394350</v>
      </c>
      <c r="E28" s="3">
        <v>8463750</v>
      </c>
      <c r="F28" s="3">
        <f>SUM(F26:F27)</f>
        <v>13115</v>
      </c>
      <c r="H28" s="39" t="s">
        <v>63</v>
      </c>
      <c r="I28" s="13">
        <v>1451351</v>
      </c>
      <c r="J28" s="13">
        <v>338</v>
      </c>
      <c r="K28" s="11">
        <f>J28/I28</f>
        <v>2.3288646233750486E-4</v>
      </c>
      <c r="L28" s="2">
        <f>N28/J28</f>
        <v>1.404526627218935</v>
      </c>
      <c r="M28" s="2">
        <f t="shared" si="3"/>
        <v>0.32709523747184521</v>
      </c>
      <c r="N28" s="17">
        <v>474.73</v>
      </c>
      <c r="O28" s="7"/>
    </row>
    <row r="29" spans="2:15">
      <c r="B29" s="5"/>
      <c r="C29" s="6"/>
      <c r="D29" s="6"/>
      <c r="E29" s="6"/>
      <c r="F29" s="6"/>
      <c r="G29" s="6"/>
      <c r="H29" s="39" t="s">
        <v>7</v>
      </c>
      <c r="I29" s="13">
        <v>699356</v>
      </c>
      <c r="J29" s="13">
        <v>173</v>
      </c>
      <c r="K29" s="11">
        <f>J29/I29</f>
        <v>2.4737043794576723E-4</v>
      </c>
      <c r="L29" s="2">
        <f>N29/J29</f>
        <v>1.2801734104046243</v>
      </c>
      <c r="M29" s="2">
        <f t="shared" si="3"/>
        <v>0.31667705717831834</v>
      </c>
      <c r="N29" s="17">
        <v>221.47</v>
      </c>
      <c r="O29" s="7"/>
    </row>
    <row r="30" spans="2:15">
      <c r="B30" s="5"/>
      <c r="C30" s="38" t="s">
        <v>64</v>
      </c>
      <c r="D30" s="38"/>
      <c r="G30" s="6"/>
      <c r="H30" s="39" t="s">
        <v>9</v>
      </c>
      <c r="I30" s="13">
        <v>501794</v>
      </c>
      <c r="J30" s="13">
        <v>158</v>
      </c>
      <c r="K30" s="11">
        <f>J30/I30</f>
        <v>3.1487024555893454E-4</v>
      </c>
      <c r="L30" s="2">
        <f>N30/J30</f>
        <v>0.99462025316455704</v>
      </c>
      <c r="M30" s="2">
        <f t="shared" si="3"/>
        <v>0.31317632335181372</v>
      </c>
      <c r="N30" s="17">
        <v>157.15</v>
      </c>
      <c r="O30" s="7"/>
    </row>
    <row r="31" spans="2:15">
      <c r="B31" s="5"/>
      <c r="C31" s="15" t="s">
        <v>65</v>
      </c>
      <c r="D31" s="15" t="s">
        <v>66</v>
      </c>
      <c r="E31" s="15" t="s">
        <v>27</v>
      </c>
      <c r="F31" s="15" t="s">
        <v>4</v>
      </c>
      <c r="G31" s="6"/>
      <c r="O31" s="7"/>
    </row>
    <row r="32" spans="2:15">
      <c r="B32" s="5"/>
      <c r="C32" s="13" t="s">
        <v>67</v>
      </c>
      <c r="D32" s="13">
        <v>4157967</v>
      </c>
      <c r="E32" s="13">
        <v>2546.13</v>
      </c>
      <c r="F32" s="11">
        <f t="shared" ref="F32:F39" si="4">E32/D32</f>
        <v>6.1234973726342705E-4</v>
      </c>
      <c r="G32" s="6"/>
      <c r="H32" s="38" t="s">
        <v>68</v>
      </c>
      <c r="I32" s="21"/>
      <c r="J32" s="6"/>
      <c r="K32" s="6"/>
      <c r="L32" s="6"/>
      <c r="M32" s="6"/>
      <c r="N32" s="6"/>
      <c r="O32" s="7"/>
    </row>
    <row r="33" spans="2:15">
      <c r="B33" s="5"/>
      <c r="C33" s="13" t="s">
        <v>69</v>
      </c>
      <c r="D33" s="13">
        <v>2141697</v>
      </c>
      <c r="E33" s="13">
        <v>1144.3899999999999</v>
      </c>
      <c r="F33" s="11">
        <f t="shared" si="4"/>
        <v>5.3433795723671455E-4</v>
      </c>
      <c r="G33" s="6"/>
      <c r="H33" s="15" t="s">
        <v>60</v>
      </c>
      <c r="I33" s="15" t="s">
        <v>3</v>
      </c>
      <c r="J33" s="15" t="s">
        <v>27</v>
      </c>
      <c r="K33" s="15" t="s">
        <v>61</v>
      </c>
      <c r="L33" s="15" t="s">
        <v>33</v>
      </c>
      <c r="M33" s="15" t="s">
        <v>5</v>
      </c>
      <c r="N33" s="15" t="s">
        <v>6</v>
      </c>
      <c r="O33" s="7"/>
    </row>
    <row r="34" spans="2:15">
      <c r="B34" s="5"/>
      <c r="C34" s="13" t="s">
        <v>70</v>
      </c>
      <c r="D34" s="13">
        <v>1371678</v>
      </c>
      <c r="E34" s="13">
        <v>783.26</v>
      </c>
      <c r="F34" s="11">
        <f t="shared" si="4"/>
        <v>5.7102322848365283E-4</v>
      </c>
      <c r="G34" s="6"/>
      <c r="H34" s="39" t="s">
        <v>62</v>
      </c>
      <c r="I34" s="13">
        <v>4157641</v>
      </c>
      <c r="J34" s="13">
        <v>3442</v>
      </c>
      <c r="K34" s="11">
        <v>8.0000000000000004E-4</v>
      </c>
      <c r="L34" s="2">
        <v>0.36</v>
      </c>
      <c r="M34" s="2">
        <v>0.3</v>
      </c>
      <c r="N34" s="17">
        <v>1228.29</v>
      </c>
      <c r="O34" s="7"/>
    </row>
    <row r="35" spans="2:15">
      <c r="B35" s="5"/>
      <c r="C35" s="13" t="s">
        <v>71</v>
      </c>
      <c r="D35" s="13">
        <v>675003</v>
      </c>
      <c r="E35" s="13">
        <v>376.91</v>
      </c>
      <c r="F35" s="11">
        <f t="shared" si="4"/>
        <v>5.5838270348428087E-4</v>
      </c>
      <c r="G35" s="6"/>
      <c r="H35" s="39" t="s">
        <v>8</v>
      </c>
      <c r="I35" s="13">
        <v>2281607</v>
      </c>
      <c r="J35" s="13">
        <v>2020</v>
      </c>
      <c r="K35" s="11">
        <v>8.9999999999999998E-4</v>
      </c>
      <c r="L35" s="2">
        <v>0.31</v>
      </c>
      <c r="M35" s="2">
        <v>0.28000000000000003</v>
      </c>
      <c r="N35" s="17">
        <v>628.37</v>
      </c>
      <c r="O35" s="7"/>
    </row>
    <row r="36" spans="2:15">
      <c r="B36" s="5"/>
      <c r="C36" s="13" t="s">
        <v>72</v>
      </c>
      <c r="D36" s="13">
        <v>444152</v>
      </c>
      <c r="E36" s="13">
        <v>266.83999999999997</v>
      </c>
      <c r="F36" s="11">
        <f t="shared" si="4"/>
        <v>6.0078531673841387E-4</v>
      </c>
      <c r="G36" s="6"/>
      <c r="H36" s="39" t="s">
        <v>10</v>
      </c>
      <c r="I36" s="13">
        <v>1935845</v>
      </c>
      <c r="J36" s="13">
        <v>1392</v>
      </c>
      <c r="K36" s="11">
        <v>6.9999999999999999E-4</v>
      </c>
      <c r="L36" s="2">
        <v>0.47</v>
      </c>
      <c r="M36" s="2">
        <v>0.33</v>
      </c>
      <c r="N36" s="17">
        <v>647.69000000000005</v>
      </c>
      <c r="O36" s="7"/>
    </row>
    <row r="37" spans="2:15">
      <c r="B37" s="5"/>
      <c r="C37" s="13" t="s">
        <v>73</v>
      </c>
      <c r="D37" s="13">
        <v>317364</v>
      </c>
      <c r="E37" s="13">
        <v>182.95</v>
      </c>
      <c r="F37" s="11">
        <f t="shared" si="4"/>
        <v>5.764674002092234E-4</v>
      </c>
      <c r="G37" s="6"/>
      <c r="H37" s="39" t="s">
        <v>63</v>
      </c>
      <c r="I37" s="13">
        <v>1319111</v>
      </c>
      <c r="J37" s="13">
        <v>352</v>
      </c>
      <c r="K37" s="11">
        <v>2.9999999999999997E-4</v>
      </c>
      <c r="L37" s="2">
        <v>1.31</v>
      </c>
      <c r="M37" s="2">
        <v>0.35</v>
      </c>
      <c r="N37" s="17">
        <v>462.82</v>
      </c>
      <c r="O37" s="7"/>
    </row>
    <row r="38" spans="2:15">
      <c r="B38" s="5"/>
      <c r="C38" s="13" t="s">
        <v>74</v>
      </c>
      <c r="D38" s="13">
        <v>197362</v>
      </c>
      <c r="E38" s="13">
        <v>90.08</v>
      </c>
      <c r="F38" s="11">
        <f t="shared" si="4"/>
        <v>4.5642018220326102E-4</v>
      </c>
      <c r="G38" s="6"/>
      <c r="H38" s="39" t="s">
        <v>7</v>
      </c>
      <c r="I38" s="13">
        <v>652910</v>
      </c>
      <c r="J38" s="13">
        <v>199</v>
      </c>
      <c r="K38" s="11">
        <v>2.9999999999999997E-4</v>
      </c>
      <c r="L38" s="2">
        <v>1.1299999999999999</v>
      </c>
      <c r="M38" s="2">
        <v>0.34</v>
      </c>
      <c r="N38" s="17">
        <v>223.95</v>
      </c>
      <c r="O38" s="7"/>
    </row>
    <row r="39" spans="2:15">
      <c r="B39" s="5"/>
      <c r="C39" s="13" t="s">
        <v>75</v>
      </c>
      <c r="D39" s="13">
        <v>673299</v>
      </c>
      <c r="E39" s="13">
        <v>376.45000000000005</v>
      </c>
      <c r="F39" s="11">
        <f t="shared" si="4"/>
        <v>5.5911266762612155E-4</v>
      </c>
      <c r="G39" s="6"/>
      <c r="H39" s="39" t="s">
        <v>9</v>
      </c>
      <c r="I39" s="13">
        <v>384200</v>
      </c>
      <c r="J39" s="13">
        <v>136</v>
      </c>
      <c r="K39" s="11">
        <v>4.0000000000000002E-4</v>
      </c>
      <c r="L39" s="2">
        <v>1</v>
      </c>
      <c r="M39" s="2">
        <v>0.35</v>
      </c>
      <c r="N39" s="17">
        <v>135.51</v>
      </c>
      <c r="O39" s="7"/>
    </row>
    <row r="40" spans="2:15">
      <c r="B40" s="5"/>
      <c r="C40" s="6"/>
      <c r="D40" s="16"/>
      <c r="E40" s="16"/>
      <c r="F40" s="12"/>
      <c r="G40" s="6"/>
      <c r="H40" s="39" t="s">
        <v>11</v>
      </c>
      <c r="I40" s="13">
        <v>308</v>
      </c>
      <c r="J40" s="13">
        <v>0</v>
      </c>
      <c r="K40" s="11">
        <v>0</v>
      </c>
      <c r="L40" s="2">
        <v>0</v>
      </c>
      <c r="M40" s="2">
        <v>0.4</v>
      </c>
      <c r="N40" s="17">
        <v>0.12</v>
      </c>
      <c r="O40" s="7"/>
    </row>
    <row r="41" spans="2:15">
      <c r="B41" s="5"/>
      <c r="C41" s="38" t="s">
        <v>76</v>
      </c>
      <c r="D41" s="38"/>
      <c r="G41" s="6"/>
      <c r="O41" s="7"/>
    </row>
    <row r="42" spans="2:15">
      <c r="B42" s="5"/>
      <c r="C42" s="15" t="s">
        <v>65</v>
      </c>
      <c r="D42" s="15" t="s">
        <v>66</v>
      </c>
      <c r="E42" s="15" t="s">
        <v>27</v>
      </c>
      <c r="F42" s="15" t="s">
        <v>4</v>
      </c>
      <c r="G42" s="6"/>
      <c r="H42" s="38" t="s">
        <v>86</v>
      </c>
      <c r="I42" s="21"/>
      <c r="J42" s="6"/>
      <c r="K42" s="6"/>
      <c r="L42" s="6"/>
      <c r="M42" s="6"/>
      <c r="N42" s="6"/>
      <c r="O42" s="7"/>
    </row>
    <row r="43" spans="2:15">
      <c r="B43" s="5"/>
      <c r="C43" s="13" t="s">
        <v>67</v>
      </c>
      <c r="D43" s="13">
        <v>4561682</v>
      </c>
      <c r="E43" s="13">
        <v>3414.28</v>
      </c>
      <c r="F43" s="11">
        <f t="shared" ref="F43:F50" si="5">E43/D43</f>
        <v>7.4846953382546179E-4</v>
      </c>
      <c r="G43" s="6"/>
      <c r="H43" s="15" t="s">
        <v>60</v>
      </c>
      <c r="I43" s="15" t="s">
        <v>3</v>
      </c>
      <c r="J43" s="15" t="s">
        <v>27</v>
      </c>
      <c r="K43" s="15" t="s">
        <v>61</v>
      </c>
      <c r="L43" s="15" t="s">
        <v>33</v>
      </c>
      <c r="M43" s="15" t="s">
        <v>5</v>
      </c>
      <c r="N43" s="15" t="s">
        <v>6</v>
      </c>
      <c r="O43" s="7"/>
    </row>
    <row r="44" spans="2:15">
      <c r="B44" s="5"/>
      <c r="C44" s="13" t="s">
        <v>69</v>
      </c>
      <c r="D44" s="13">
        <v>2323178</v>
      </c>
      <c r="E44" s="13">
        <v>1557.53</v>
      </c>
      <c r="F44" s="11">
        <f t="shared" si="5"/>
        <v>6.7043076337671933E-4</v>
      </c>
      <c r="G44" s="6"/>
      <c r="H44" s="39" t="s">
        <v>88</v>
      </c>
      <c r="I44" s="13">
        <v>1154232</v>
      </c>
      <c r="J44" s="13">
        <v>760</v>
      </c>
      <c r="K44" s="11">
        <f t="shared" ref="K44:K53" si="6">J44/I44</f>
        <v>6.5844648216303132E-4</v>
      </c>
      <c r="L44" s="2">
        <f t="shared" ref="L44:L53" si="7">N44/J44</f>
        <v>0.59075</v>
      </c>
      <c r="M44" s="2">
        <f t="shared" ref="M44:M53" si="8">N44/I44*1000</f>
        <v>0.3889772593378108</v>
      </c>
      <c r="N44" s="17">
        <v>448.97</v>
      </c>
      <c r="O44" s="7"/>
    </row>
    <row r="45" spans="2:15">
      <c r="B45" s="5"/>
      <c r="C45" s="13" t="s">
        <v>70</v>
      </c>
      <c r="D45" s="13">
        <v>1493095</v>
      </c>
      <c r="E45" s="13">
        <v>979.59</v>
      </c>
      <c r="F45" s="11">
        <f t="shared" si="5"/>
        <v>6.5608015564984151E-4</v>
      </c>
      <c r="G45" s="6"/>
      <c r="H45" s="39" t="s">
        <v>89</v>
      </c>
      <c r="I45" s="13">
        <v>402260</v>
      </c>
      <c r="J45" s="13">
        <v>293</v>
      </c>
      <c r="K45" s="11">
        <f t="shared" si="6"/>
        <v>7.2838462685825085E-4</v>
      </c>
      <c r="L45" s="2">
        <f t="shared" si="7"/>
        <v>0.39327645051194543</v>
      </c>
      <c r="M45" s="2">
        <f t="shared" si="8"/>
        <v>0.28645652065828076</v>
      </c>
      <c r="N45" s="17">
        <v>115.23</v>
      </c>
      <c r="O45" s="7"/>
    </row>
    <row r="46" spans="2:15">
      <c r="B46" s="5"/>
      <c r="C46" s="13" t="s">
        <v>71</v>
      </c>
      <c r="D46" s="13">
        <v>699269</v>
      </c>
      <c r="E46" s="13">
        <v>515.48</v>
      </c>
      <c r="F46" s="11">
        <f t="shared" si="5"/>
        <v>7.3716981590775507E-4</v>
      </c>
      <c r="G46" s="6"/>
      <c r="H46" s="39" t="s">
        <v>90</v>
      </c>
      <c r="I46" s="13">
        <v>280796</v>
      </c>
      <c r="J46" s="13">
        <v>229</v>
      </c>
      <c r="K46" s="11">
        <f t="shared" si="6"/>
        <v>8.155386828872206E-4</v>
      </c>
      <c r="L46" s="2">
        <f t="shared" si="7"/>
        <v>0.374235807860262</v>
      </c>
      <c r="M46" s="2">
        <f t="shared" si="8"/>
        <v>0.30520377783159308</v>
      </c>
      <c r="N46" s="17">
        <v>85.7</v>
      </c>
      <c r="O46" s="7"/>
    </row>
    <row r="47" spans="2:15">
      <c r="B47" s="5"/>
      <c r="C47" s="13" t="s">
        <v>72</v>
      </c>
      <c r="D47" s="13">
        <v>458673</v>
      </c>
      <c r="E47" s="13">
        <v>315.89</v>
      </c>
      <c r="F47" s="11">
        <f t="shared" si="5"/>
        <v>6.8870415306765387E-4</v>
      </c>
      <c r="G47" s="6"/>
      <c r="H47" s="39" t="s">
        <v>91</v>
      </c>
      <c r="I47" s="13">
        <v>135232</v>
      </c>
      <c r="J47" s="13">
        <v>188</v>
      </c>
      <c r="K47" s="11">
        <f t="shared" si="6"/>
        <v>1.3902035021296734E-3</v>
      </c>
      <c r="L47" s="2">
        <f t="shared" si="7"/>
        <v>0.1978191489361702</v>
      </c>
      <c r="M47" s="2">
        <f t="shared" si="8"/>
        <v>0.27500887363937526</v>
      </c>
      <c r="N47" s="17">
        <v>37.19</v>
      </c>
      <c r="O47" s="7"/>
    </row>
    <row r="48" spans="2:15">
      <c r="B48" s="5"/>
      <c r="C48" s="13" t="s">
        <v>73</v>
      </c>
      <c r="D48" s="13">
        <v>327108</v>
      </c>
      <c r="E48" s="13">
        <v>235.63</v>
      </c>
      <c r="F48" s="11">
        <f t="shared" si="5"/>
        <v>7.2034312826344817E-4</v>
      </c>
      <c r="G48" s="6"/>
      <c r="H48" s="39" t="s">
        <v>92</v>
      </c>
      <c r="I48" s="13">
        <v>131260</v>
      </c>
      <c r="J48" s="13">
        <v>120</v>
      </c>
      <c r="K48" s="11">
        <f t="shared" si="6"/>
        <v>9.1421605972878261E-4</v>
      </c>
      <c r="L48" s="2">
        <f t="shared" si="7"/>
        <v>0.19783333333333333</v>
      </c>
      <c r="M48" s="2">
        <f t="shared" si="8"/>
        <v>0.18086241048301083</v>
      </c>
      <c r="N48" s="17">
        <v>23.74</v>
      </c>
      <c r="O48" s="7"/>
    </row>
    <row r="49" spans="2:15">
      <c r="B49" s="5"/>
      <c r="C49" s="13" t="s">
        <v>74</v>
      </c>
      <c r="D49" s="13">
        <v>203933</v>
      </c>
      <c r="E49" s="13">
        <v>139.49</v>
      </c>
      <c r="F49" s="11">
        <f t="shared" si="5"/>
        <v>6.8399915658574147E-4</v>
      </c>
      <c r="G49" s="6"/>
      <c r="H49" s="39" t="s">
        <v>93</v>
      </c>
      <c r="I49" s="13">
        <v>60720</v>
      </c>
      <c r="J49" s="13">
        <v>74</v>
      </c>
      <c r="K49" s="11">
        <f t="shared" si="6"/>
        <v>1.2187088274044796E-3</v>
      </c>
      <c r="L49" s="2">
        <f t="shared" si="7"/>
        <v>0.20202702702702702</v>
      </c>
      <c r="M49" s="2">
        <f t="shared" si="8"/>
        <v>0.24621212121212122</v>
      </c>
      <c r="N49" s="17">
        <v>14.95</v>
      </c>
      <c r="O49" s="7"/>
    </row>
    <row r="50" spans="2:15">
      <c r="B50" s="5"/>
      <c r="C50" s="13" t="s">
        <v>75</v>
      </c>
      <c r="D50" s="13">
        <v>664675</v>
      </c>
      <c r="E50" s="13">
        <v>369.14</v>
      </c>
      <c r="F50" s="11">
        <f t="shared" si="5"/>
        <v>5.5536916538157747E-4</v>
      </c>
      <c r="G50" s="6"/>
      <c r="H50" s="39" t="s">
        <v>94</v>
      </c>
      <c r="I50" s="13">
        <v>128486</v>
      </c>
      <c r="J50" s="13">
        <v>71</v>
      </c>
      <c r="K50" s="11">
        <f t="shared" si="6"/>
        <v>5.5258938717058664E-4</v>
      </c>
      <c r="L50" s="2">
        <f t="shared" si="7"/>
        <v>0.40014084507042252</v>
      </c>
      <c r="M50" s="2">
        <f t="shared" si="8"/>
        <v>0.22111358435938544</v>
      </c>
      <c r="N50" s="17">
        <v>28.41</v>
      </c>
      <c r="O50" s="7"/>
    </row>
    <row r="51" spans="2:15">
      <c r="B51" s="5"/>
      <c r="C51" s="6"/>
      <c r="D51" s="16"/>
      <c r="E51" s="16"/>
      <c r="F51" s="12"/>
      <c r="G51" s="6"/>
      <c r="H51" s="39" t="s">
        <v>95</v>
      </c>
      <c r="I51" s="13">
        <v>60040</v>
      </c>
      <c r="J51" s="13">
        <v>64</v>
      </c>
      <c r="K51" s="11">
        <f t="shared" si="6"/>
        <v>1.0659560293137908E-3</v>
      </c>
      <c r="L51" s="2">
        <f t="shared" si="7"/>
        <v>0.33718749999999997</v>
      </c>
      <c r="M51" s="2">
        <f t="shared" si="8"/>
        <v>0.3594270486342438</v>
      </c>
      <c r="N51" s="17">
        <v>21.58</v>
      </c>
      <c r="O51" s="7"/>
    </row>
    <row r="52" spans="2:15">
      <c r="B52" s="5"/>
      <c r="C52" s="38" t="s">
        <v>77</v>
      </c>
      <c r="D52" s="38"/>
      <c r="E52" s="40"/>
      <c r="G52" s="6"/>
      <c r="H52" s="39" t="s">
        <v>96</v>
      </c>
      <c r="I52" s="13">
        <v>103024</v>
      </c>
      <c r="J52" s="13">
        <v>64</v>
      </c>
      <c r="K52" s="11">
        <f t="shared" si="6"/>
        <v>6.2121447429725114E-4</v>
      </c>
      <c r="L52" s="2">
        <f t="shared" si="7"/>
        <v>0.39140625000000001</v>
      </c>
      <c r="M52" s="2">
        <f t="shared" si="8"/>
        <v>0.24314722783040846</v>
      </c>
      <c r="N52" s="17">
        <v>25.05</v>
      </c>
      <c r="O52" s="7"/>
    </row>
    <row r="53" spans="2:15">
      <c r="B53" s="5"/>
      <c r="C53" s="41" t="s">
        <v>78</v>
      </c>
      <c r="D53" s="42"/>
      <c r="E53" s="43"/>
      <c r="F53" s="15" t="s">
        <v>79</v>
      </c>
      <c r="G53" s="6"/>
      <c r="H53" s="39" t="s">
        <v>97</v>
      </c>
      <c r="I53" s="13">
        <v>48549</v>
      </c>
      <c r="J53" s="13">
        <v>58</v>
      </c>
      <c r="K53" s="11">
        <f t="shared" si="6"/>
        <v>1.1946693031782323E-3</v>
      </c>
      <c r="L53" s="2">
        <f t="shared" si="7"/>
        <v>0.21913793103448279</v>
      </c>
      <c r="M53" s="2">
        <f t="shared" si="8"/>
        <v>0.26179735936888504</v>
      </c>
      <c r="N53" s="17">
        <v>12.71</v>
      </c>
      <c r="O53" s="7"/>
    </row>
    <row r="54" spans="2:15">
      <c r="B54" s="5"/>
      <c r="C54" s="44" t="s">
        <v>80</v>
      </c>
      <c r="D54" s="45"/>
      <c r="E54" s="46"/>
      <c r="F54" s="50">
        <v>0.60399999999999998</v>
      </c>
      <c r="G54" s="6"/>
      <c r="O54" s="7"/>
    </row>
    <row r="55" spans="2:15">
      <c r="B55" s="5"/>
      <c r="C55" s="44" t="s">
        <v>12</v>
      </c>
      <c r="D55" s="45"/>
      <c r="E55" s="46"/>
      <c r="F55" s="50">
        <v>0.122</v>
      </c>
      <c r="G55" s="6"/>
      <c r="H55" s="38" t="s">
        <v>87</v>
      </c>
      <c r="I55" s="21"/>
      <c r="J55" s="6"/>
      <c r="K55" s="6"/>
      <c r="L55" s="6"/>
      <c r="M55" s="6"/>
      <c r="N55" s="6"/>
      <c r="O55" s="7"/>
    </row>
    <row r="56" spans="2:15">
      <c r="B56" s="5"/>
      <c r="C56" s="51" t="s">
        <v>13</v>
      </c>
      <c r="D56" s="52"/>
      <c r="E56" s="53"/>
      <c r="F56" s="50">
        <v>8.1000000000000003E-2</v>
      </c>
      <c r="G56" s="6"/>
      <c r="H56" s="15" t="s">
        <v>60</v>
      </c>
      <c r="I56" s="15" t="s">
        <v>3</v>
      </c>
      <c r="J56" s="15" t="s">
        <v>27</v>
      </c>
      <c r="K56" s="15" t="s">
        <v>61</v>
      </c>
      <c r="L56" s="15" t="s">
        <v>33</v>
      </c>
      <c r="M56" s="15" t="s">
        <v>5</v>
      </c>
      <c r="N56" s="15" t="s">
        <v>6</v>
      </c>
      <c r="O56" s="7"/>
    </row>
    <row r="57" spans="2:15">
      <c r="B57" s="5"/>
      <c r="C57" s="44" t="s">
        <v>84</v>
      </c>
      <c r="D57" s="45"/>
      <c r="E57" s="46"/>
      <c r="F57" s="50">
        <v>5.8999999999999997E-2</v>
      </c>
      <c r="G57" s="6"/>
      <c r="H57" s="39" t="s">
        <v>88</v>
      </c>
      <c r="I57" s="13">
        <v>1996456</v>
      </c>
      <c r="J57" s="13">
        <v>1379</v>
      </c>
      <c r="K57" s="11">
        <f t="shared" ref="K57:K66" si="9">J57/I57</f>
        <v>6.9072396286219185E-4</v>
      </c>
      <c r="L57" s="2">
        <f t="shared" ref="L57:L66" si="10">N57/J57</f>
        <v>0.58878172588832489</v>
      </c>
      <c r="M57" s="2">
        <f t="shared" ref="M57:M66" si="11">N57/I57*1000</f>
        <v>0.40668564696642451</v>
      </c>
      <c r="N57" s="17">
        <v>811.93</v>
      </c>
      <c r="O57" s="7"/>
    </row>
    <row r="58" spans="2:15">
      <c r="B58" s="5"/>
      <c r="C58" s="54" t="s">
        <v>85</v>
      </c>
      <c r="D58" s="45"/>
      <c r="E58" s="46"/>
      <c r="F58" s="50">
        <v>3.6999999999999998E-2</v>
      </c>
      <c r="G58" s="6"/>
      <c r="H58" s="39" t="s">
        <v>91</v>
      </c>
      <c r="I58" s="13">
        <v>458441</v>
      </c>
      <c r="J58" s="13">
        <v>626</v>
      </c>
      <c r="K58" s="11">
        <f t="shared" si="9"/>
        <v>1.3654974140620058E-3</v>
      </c>
      <c r="L58" s="2">
        <f t="shared" si="10"/>
        <v>0.24007987220447288</v>
      </c>
      <c r="M58" s="2">
        <f t="shared" si="11"/>
        <v>0.32782844466354455</v>
      </c>
      <c r="N58" s="17">
        <v>150.29000000000002</v>
      </c>
      <c r="O58" s="7"/>
    </row>
    <row r="59" spans="2:15">
      <c r="B59" s="5"/>
      <c r="C59" s="6"/>
      <c r="D59" s="16"/>
      <c r="E59" s="16"/>
      <c r="F59" s="12"/>
      <c r="G59" s="6"/>
      <c r="H59" s="39" t="s">
        <v>89</v>
      </c>
      <c r="I59" s="13">
        <v>382400</v>
      </c>
      <c r="J59" s="13">
        <v>382</v>
      </c>
      <c r="K59" s="11">
        <f t="shared" si="9"/>
        <v>9.9895397489539739E-4</v>
      </c>
      <c r="L59" s="2">
        <f t="shared" si="10"/>
        <v>0.30879581151832458</v>
      </c>
      <c r="M59" s="2">
        <f t="shared" si="11"/>
        <v>0.30847280334728033</v>
      </c>
      <c r="N59" s="17">
        <v>117.96</v>
      </c>
      <c r="O59" s="7"/>
    </row>
    <row r="60" spans="2:15">
      <c r="B60" s="5"/>
      <c r="C60" s="38" t="s">
        <v>83</v>
      </c>
      <c r="D60" s="38"/>
      <c r="E60" s="40"/>
      <c r="G60" s="6"/>
      <c r="H60" s="39" t="s">
        <v>92</v>
      </c>
      <c r="I60" s="13">
        <v>309449</v>
      </c>
      <c r="J60" s="13">
        <v>341</v>
      </c>
      <c r="K60" s="11">
        <f t="shared" si="9"/>
        <v>1.1019586426196239E-3</v>
      </c>
      <c r="L60" s="2">
        <f t="shared" si="10"/>
        <v>0.18058651026392961</v>
      </c>
      <c r="M60" s="2">
        <f t="shared" si="11"/>
        <v>0.19899886572585465</v>
      </c>
      <c r="N60" s="17">
        <v>61.58</v>
      </c>
      <c r="O60" s="7"/>
    </row>
    <row r="61" spans="2:15">
      <c r="B61" s="5"/>
      <c r="C61" s="41" t="s">
        <v>78</v>
      </c>
      <c r="D61" s="42"/>
      <c r="E61" s="43"/>
      <c r="F61" s="15" t="s">
        <v>79</v>
      </c>
      <c r="G61" s="6"/>
      <c r="H61" s="39" t="s">
        <v>94</v>
      </c>
      <c r="I61" s="13">
        <v>304450</v>
      </c>
      <c r="J61" s="13">
        <v>312</v>
      </c>
      <c r="K61" s="11">
        <f t="shared" si="9"/>
        <v>1.0247988175398259E-3</v>
      </c>
      <c r="L61" s="2">
        <f t="shared" si="10"/>
        <v>0.25794871794871793</v>
      </c>
      <c r="M61" s="2">
        <f t="shared" si="11"/>
        <v>0.26434554113976022</v>
      </c>
      <c r="N61" s="17">
        <v>80.47999999999999</v>
      </c>
      <c r="O61" s="7"/>
    </row>
    <row r="62" spans="2:15">
      <c r="B62" s="5"/>
      <c r="C62" s="44" t="s">
        <v>80</v>
      </c>
      <c r="D62" s="45"/>
      <c r="E62" s="46"/>
      <c r="F62" s="50">
        <v>0.57499999999999996</v>
      </c>
      <c r="G62" s="6"/>
      <c r="H62" s="39" t="s">
        <v>90</v>
      </c>
      <c r="I62" s="13">
        <v>266926</v>
      </c>
      <c r="J62" s="13">
        <v>260</v>
      </c>
      <c r="K62" s="11">
        <f t="shared" si="9"/>
        <v>9.7405273371646073E-4</v>
      </c>
      <c r="L62" s="2">
        <f t="shared" si="10"/>
        <v>0.33130769230769225</v>
      </c>
      <c r="M62" s="2">
        <f t="shared" si="11"/>
        <v>0.32271116339359968</v>
      </c>
      <c r="N62" s="17">
        <v>86.139999999999986</v>
      </c>
      <c r="O62" s="7"/>
    </row>
    <row r="63" spans="2:15">
      <c r="B63" s="5"/>
      <c r="C63" s="44" t="s">
        <v>12</v>
      </c>
      <c r="D63" s="45"/>
      <c r="E63" s="46"/>
      <c r="F63" s="50">
        <v>0.14299999999999999</v>
      </c>
      <c r="G63" s="6"/>
      <c r="H63" s="39" t="s">
        <v>98</v>
      </c>
      <c r="I63" s="13">
        <v>157786</v>
      </c>
      <c r="J63" s="13">
        <v>215</v>
      </c>
      <c r="K63" s="11">
        <f t="shared" si="9"/>
        <v>1.3626050473426032E-3</v>
      </c>
      <c r="L63" s="2">
        <f t="shared" si="10"/>
        <v>0.18525581395348836</v>
      </c>
      <c r="M63" s="2">
        <f t="shared" si="11"/>
        <v>0.25243050714258553</v>
      </c>
      <c r="N63" s="17">
        <v>39.83</v>
      </c>
      <c r="O63" s="7"/>
    </row>
    <row r="64" spans="2:15">
      <c r="B64" s="5"/>
      <c r="C64" s="44" t="s">
        <v>81</v>
      </c>
      <c r="D64" s="45"/>
      <c r="E64" s="46"/>
      <c r="F64" s="50">
        <v>7.1999999999999995E-2</v>
      </c>
      <c r="G64" s="6"/>
      <c r="H64" s="39" t="s">
        <v>99</v>
      </c>
      <c r="I64" s="13">
        <v>132188</v>
      </c>
      <c r="J64" s="13">
        <v>127</v>
      </c>
      <c r="K64" s="11">
        <f t="shared" si="9"/>
        <v>9.60752867128635E-4</v>
      </c>
      <c r="L64" s="2">
        <f t="shared" si="10"/>
        <v>0.27212598425196854</v>
      </c>
      <c r="M64" s="2">
        <f t="shared" si="11"/>
        <v>0.26144581959028051</v>
      </c>
      <c r="N64" s="17">
        <v>34.56</v>
      </c>
      <c r="O64" s="7"/>
    </row>
    <row r="65" spans="2:15">
      <c r="B65" s="5"/>
      <c r="C65" s="44" t="s">
        <v>13</v>
      </c>
      <c r="D65" s="45"/>
      <c r="E65" s="46"/>
      <c r="F65" s="50">
        <v>6.6000000000000003E-2</v>
      </c>
      <c r="G65" s="6"/>
      <c r="H65" s="39" t="s">
        <v>100</v>
      </c>
      <c r="I65" s="13">
        <v>66806</v>
      </c>
      <c r="J65" s="13">
        <v>66</v>
      </c>
      <c r="K65" s="11">
        <f t="shared" si="9"/>
        <v>9.8793521539981442E-4</v>
      </c>
      <c r="L65" s="2">
        <f t="shared" si="10"/>
        <v>0.31651515151515153</v>
      </c>
      <c r="M65" s="2">
        <f t="shared" si="11"/>
        <v>0.31269646438942611</v>
      </c>
      <c r="N65" s="17">
        <v>20.89</v>
      </c>
      <c r="O65" s="7"/>
    </row>
    <row r="66" spans="2:15">
      <c r="B66" s="5"/>
      <c r="C66" s="44" t="s">
        <v>14</v>
      </c>
      <c r="D66" s="45"/>
      <c r="E66" s="46"/>
      <c r="F66" s="50">
        <v>4.9000000000000002E-2</v>
      </c>
      <c r="G66" s="6"/>
      <c r="H66" s="39" t="s">
        <v>101</v>
      </c>
      <c r="I66" s="13">
        <v>189221</v>
      </c>
      <c r="J66" s="13">
        <v>66</v>
      </c>
      <c r="K66" s="11">
        <f t="shared" si="9"/>
        <v>3.4879849488164634E-4</v>
      </c>
      <c r="L66" s="2">
        <f t="shared" si="10"/>
        <v>0.63590909090909087</v>
      </c>
      <c r="M66" s="2">
        <f t="shared" si="11"/>
        <v>0.22180413379064692</v>
      </c>
      <c r="N66" s="17">
        <v>41.97</v>
      </c>
      <c r="O66" s="7"/>
    </row>
    <row r="67" spans="2:15">
      <c r="B67" s="5"/>
      <c r="C67" s="6"/>
      <c r="D67" s="16"/>
      <c r="E67" s="16"/>
      <c r="F67" s="12"/>
      <c r="G67" s="6"/>
      <c r="H67" s="6"/>
      <c r="I67" s="6"/>
      <c r="J67" s="6"/>
      <c r="K67" s="6"/>
      <c r="L67" s="6"/>
      <c r="M67" s="6"/>
      <c r="N67" s="6"/>
      <c r="O67" s="7"/>
    </row>
    <row r="68" spans="2:15">
      <c r="B68" s="5"/>
      <c r="C68" s="38" t="s">
        <v>82</v>
      </c>
      <c r="G68" s="6"/>
      <c r="H68" s="6"/>
      <c r="I68" s="6"/>
      <c r="J68" s="6"/>
      <c r="K68" s="6"/>
      <c r="L68" s="6"/>
      <c r="M68" s="6"/>
      <c r="N68" s="6"/>
      <c r="O68" s="7"/>
    </row>
    <row r="69" spans="2:15" ht="14.25" customHeight="1">
      <c r="B69" s="5"/>
      <c r="C69" s="25" t="s">
        <v>102</v>
      </c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7"/>
      <c r="O69" s="7"/>
    </row>
    <row r="70" spans="2:15">
      <c r="B70" s="5"/>
      <c r="C70" s="28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30"/>
      <c r="O70" s="7"/>
    </row>
    <row r="71" spans="2:15">
      <c r="B71" s="5"/>
      <c r="C71" s="28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30"/>
      <c r="O71" s="7"/>
    </row>
    <row r="72" spans="2:15">
      <c r="B72" s="5"/>
      <c r="C72" s="28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30"/>
      <c r="O72" s="7"/>
    </row>
    <row r="73" spans="2:15">
      <c r="B73" s="5"/>
      <c r="C73" s="28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30"/>
      <c r="O73" s="7"/>
    </row>
    <row r="74" spans="2:15">
      <c r="B74" s="5"/>
      <c r="C74" s="28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30"/>
      <c r="O74" s="7"/>
    </row>
    <row r="75" spans="2:15">
      <c r="B75" s="5"/>
      <c r="C75" s="28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30"/>
      <c r="O75" s="7"/>
    </row>
    <row r="76" spans="2:15">
      <c r="B76" s="5"/>
      <c r="C76" s="28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30"/>
      <c r="O76" s="7"/>
    </row>
    <row r="77" spans="2:15">
      <c r="B77" s="5"/>
      <c r="C77" s="28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30"/>
      <c r="O77" s="7"/>
    </row>
    <row r="78" spans="2:15">
      <c r="B78" s="5"/>
      <c r="C78" s="28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30"/>
      <c r="O78" s="7"/>
    </row>
    <row r="79" spans="2:15">
      <c r="B79" s="5"/>
      <c r="C79" s="28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30"/>
      <c r="O79" s="7"/>
    </row>
    <row r="80" spans="2:15">
      <c r="B80" s="5"/>
      <c r="C80" s="28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30"/>
      <c r="O80" s="7"/>
    </row>
    <row r="81" spans="2:15">
      <c r="B81" s="5"/>
      <c r="C81" s="28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30"/>
      <c r="O81" s="7"/>
    </row>
    <row r="82" spans="2:15">
      <c r="B82" s="5"/>
      <c r="C82" s="28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30"/>
      <c r="O82" s="7"/>
    </row>
    <row r="83" spans="2:15">
      <c r="B83" s="5"/>
      <c r="C83" s="28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30"/>
      <c r="O83" s="7"/>
    </row>
    <row r="84" spans="2:15">
      <c r="B84" s="5"/>
      <c r="C84" s="28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30"/>
      <c r="O84" s="7"/>
    </row>
    <row r="85" spans="2:15">
      <c r="B85" s="5"/>
      <c r="C85" s="28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30"/>
      <c r="O85" s="7"/>
    </row>
    <row r="86" spans="2:15">
      <c r="B86" s="5"/>
      <c r="C86" s="28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30"/>
      <c r="O86" s="7"/>
    </row>
    <row r="87" spans="2:15">
      <c r="B87" s="5"/>
      <c r="C87" s="28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30"/>
      <c r="O87" s="7"/>
    </row>
    <row r="88" spans="2:15">
      <c r="B88" s="5"/>
      <c r="C88" s="28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30"/>
      <c r="O88" s="7"/>
    </row>
    <row r="89" spans="2:15">
      <c r="B89" s="5"/>
      <c r="C89" s="28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30"/>
      <c r="O89" s="7"/>
    </row>
    <row r="90" spans="2:15">
      <c r="B90" s="5"/>
      <c r="C90" s="28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30"/>
      <c r="O90" s="7"/>
    </row>
    <row r="91" spans="2:15">
      <c r="B91" s="5"/>
      <c r="C91" s="28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30"/>
      <c r="O91" s="7"/>
    </row>
    <row r="92" spans="2:15">
      <c r="B92" s="5"/>
      <c r="C92" s="31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3"/>
      <c r="O92" s="7"/>
    </row>
    <row r="93" spans="2:15">
      <c r="B93" s="5"/>
      <c r="C93" s="6"/>
      <c r="D93" s="16"/>
      <c r="E93" s="16"/>
      <c r="F93" s="12"/>
      <c r="G93" s="6"/>
      <c r="H93" s="6"/>
      <c r="I93" s="6"/>
      <c r="J93" s="6"/>
      <c r="K93" s="6"/>
      <c r="L93" s="6"/>
      <c r="M93" s="6"/>
      <c r="N93" s="6"/>
      <c r="O93" s="7"/>
    </row>
    <row r="94" spans="2:15">
      <c r="B94" s="5"/>
      <c r="C94" s="10" t="s">
        <v>0</v>
      </c>
      <c r="D94" s="16"/>
      <c r="E94" s="16"/>
      <c r="F94" s="12"/>
      <c r="G94" s="6"/>
      <c r="H94" s="6"/>
      <c r="I94" s="6"/>
      <c r="J94" s="6"/>
      <c r="K94" s="6"/>
      <c r="L94" s="6"/>
      <c r="M94" s="6"/>
      <c r="N94" s="6"/>
      <c r="O94" s="7"/>
    </row>
    <row r="95" spans="2:15">
      <c r="B95" s="47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9"/>
    </row>
  </sheetData>
  <mergeCells count="13">
    <mergeCell ref="C66:E66"/>
    <mergeCell ref="B2:O2"/>
    <mergeCell ref="C69:N92"/>
    <mergeCell ref="C53:E53"/>
    <mergeCell ref="C54:E54"/>
    <mergeCell ref="C55:E55"/>
    <mergeCell ref="C57:E57"/>
    <mergeCell ref="C58:E58"/>
    <mergeCell ref="C61:E61"/>
    <mergeCell ref="C62:E62"/>
    <mergeCell ref="C63:E63"/>
    <mergeCell ref="C64:E64"/>
    <mergeCell ref="C65:E65"/>
  </mergeCells>
  <phoneticPr fontId="3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总结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2013-01-07T10:20:06Z</dcterms:modified>
</cp:coreProperties>
</file>