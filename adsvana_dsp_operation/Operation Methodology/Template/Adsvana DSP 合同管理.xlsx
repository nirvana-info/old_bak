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10" yWindow="-150" windowWidth="19440" windowHeight="9855" tabRatio="309" activeTab="1"/>
  </bookViews>
  <sheets>
    <sheet name="合同管理" sheetId="4" r:id="rId1"/>
    <sheet name="合同管理 (2)" sheetId="5" r:id="rId2"/>
    <sheet name="Sheet2" sheetId="2" r:id="rId3"/>
    <sheet name="Sheet3" sheetId="3" r:id="rId4"/>
  </sheets>
  <definedNames>
    <definedName name="_xlnm._FilterDatabase" localSheetId="0" hidden="1">合同管理!$B$3:$H$7</definedName>
    <definedName name="_xlnm._FilterDatabase" localSheetId="1" hidden="1">'合同管理 (2)'!$B$3:$H$7</definedName>
  </definedNames>
  <calcPr calcId="125725"/>
</workbook>
</file>

<file path=xl/calcChain.xml><?xml version="1.0" encoding="utf-8"?>
<calcChain xmlns="http://schemas.openxmlformats.org/spreadsheetml/2006/main">
  <c r="Q31" i="5"/>
  <c r="Q20"/>
  <c r="Q15"/>
  <c r="Q7"/>
  <c r="Q32" s="1"/>
  <c r="Q32" i="4"/>
  <c r="Q20"/>
  <c r="Q33"/>
  <c r="Q15"/>
  <c r="Q7"/>
</calcChain>
</file>

<file path=xl/sharedStrings.xml><?xml version="1.0" encoding="utf-8"?>
<sst xmlns="http://schemas.openxmlformats.org/spreadsheetml/2006/main" count="354" uniqueCount="108">
  <si>
    <r>
      <rPr>
        <b/>
        <sz val="11"/>
        <rFont val="宋体"/>
        <family val="3"/>
        <charset val="134"/>
      </rPr>
      <t>序号</t>
    </r>
    <phoneticPr fontId="1" type="noConversion"/>
  </si>
  <si>
    <r>
      <rPr>
        <b/>
        <sz val="11"/>
        <color theme="1"/>
        <rFont val="宋体"/>
        <family val="3"/>
        <charset val="134"/>
      </rPr>
      <t>基本信息</t>
    </r>
    <phoneticPr fontId="1" type="noConversion"/>
  </si>
  <si>
    <r>
      <rPr>
        <b/>
        <sz val="11"/>
        <color theme="1"/>
        <rFont val="宋体"/>
        <family val="3"/>
        <charset val="134"/>
      </rPr>
      <t>付款信息</t>
    </r>
    <phoneticPr fontId="1" type="noConversion"/>
  </si>
  <si>
    <r>
      <rPr>
        <b/>
        <sz val="11"/>
        <color theme="0"/>
        <rFont val="宋体"/>
        <family val="3"/>
        <charset val="134"/>
      </rPr>
      <t>合同编号</t>
    </r>
    <phoneticPr fontId="1" type="noConversion"/>
  </si>
  <si>
    <r>
      <rPr>
        <b/>
        <sz val="11"/>
        <color theme="0"/>
        <rFont val="宋体"/>
        <family val="3"/>
        <charset val="134"/>
      </rPr>
      <t>客户名称</t>
    </r>
    <phoneticPr fontId="1" type="noConversion"/>
  </si>
  <si>
    <r>
      <rPr>
        <b/>
        <sz val="11"/>
        <color theme="0"/>
        <rFont val="宋体"/>
        <family val="3"/>
        <charset val="134"/>
      </rPr>
      <t>签订日期</t>
    </r>
    <phoneticPr fontId="1" type="noConversion"/>
  </si>
  <si>
    <r>
      <rPr>
        <b/>
        <sz val="11"/>
        <color theme="0"/>
        <rFont val="宋体"/>
        <family val="3"/>
        <charset val="134"/>
      </rPr>
      <t>是否已签署</t>
    </r>
    <phoneticPr fontId="1" type="noConversion"/>
  </si>
  <si>
    <r>
      <rPr>
        <b/>
        <sz val="11"/>
        <color theme="0"/>
        <rFont val="宋体"/>
        <family val="3"/>
        <charset val="134"/>
      </rPr>
      <t>主要合作方式</t>
    </r>
    <phoneticPr fontId="1" type="noConversion"/>
  </si>
  <si>
    <r>
      <rPr>
        <b/>
        <sz val="11"/>
        <color theme="0"/>
        <rFont val="宋体"/>
        <family val="3"/>
        <charset val="134"/>
      </rPr>
      <t>主要条款</t>
    </r>
    <phoneticPr fontId="1" type="noConversion"/>
  </si>
  <si>
    <r>
      <rPr>
        <b/>
        <sz val="11"/>
        <color theme="0"/>
        <rFont val="宋体"/>
        <family val="3"/>
        <charset val="134"/>
      </rPr>
      <t>合同状态</t>
    </r>
    <phoneticPr fontId="1" type="noConversion"/>
  </si>
  <si>
    <r>
      <rPr>
        <b/>
        <sz val="11"/>
        <color theme="0"/>
        <rFont val="宋体"/>
        <family val="3"/>
        <charset val="134"/>
      </rPr>
      <t>备注</t>
    </r>
    <phoneticPr fontId="1" type="noConversion"/>
  </si>
  <si>
    <r>
      <rPr>
        <b/>
        <sz val="11"/>
        <color theme="0"/>
        <rFont val="宋体"/>
        <family val="3"/>
        <charset val="134"/>
      </rPr>
      <t>期数</t>
    </r>
    <phoneticPr fontId="1" type="noConversion"/>
  </si>
  <si>
    <r>
      <rPr>
        <b/>
        <sz val="11"/>
        <color theme="0"/>
        <rFont val="宋体"/>
        <family val="3"/>
        <charset val="134"/>
      </rPr>
      <t>费用包含</t>
    </r>
    <phoneticPr fontId="1" type="noConversion"/>
  </si>
  <si>
    <r>
      <rPr>
        <b/>
        <sz val="11"/>
        <color theme="0"/>
        <rFont val="宋体"/>
        <family val="3"/>
        <charset val="134"/>
      </rPr>
      <t>已付金额</t>
    </r>
    <phoneticPr fontId="1" type="noConversion"/>
  </si>
  <si>
    <r>
      <rPr>
        <sz val="11"/>
        <color theme="1"/>
        <rFont val="宋体"/>
        <family val="3"/>
        <charset val="134"/>
      </rPr>
      <t>兰亭集势</t>
    </r>
    <r>
      <rPr>
        <sz val="11"/>
        <color theme="1"/>
        <rFont val="Calibri"/>
        <family val="2"/>
      </rPr>
      <t xml:space="preserve"> lightinthebox</t>
    </r>
    <phoneticPr fontId="1" type="noConversion"/>
  </si>
  <si>
    <r>
      <rPr>
        <sz val="11"/>
        <color theme="1"/>
        <rFont val="宋体"/>
        <family val="3"/>
        <charset val="134"/>
      </rPr>
      <t>是</t>
    </r>
    <phoneticPr fontId="1" type="noConversion"/>
  </si>
  <si>
    <t>CPM</t>
    <phoneticPr fontId="1" type="noConversion"/>
  </si>
  <si>
    <r>
      <rPr>
        <sz val="11"/>
        <color theme="1"/>
        <rFont val="宋体"/>
        <family val="3"/>
        <charset val="134"/>
      </rPr>
      <t>执行中</t>
    </r>
    <phoneticPr fontId="1" type="noConversion"/>
  </si>
  <si>
    <r>
      <rPr>
        <sz val="11"/>
        <color theme="1"/>
        <rFont val="宋体"/>
        <family val="3"/>
        <charset val="134"/>
      </rPr>
      <t>一期</t>
    </r>
    <r>
      <rPr>
        <sz val="11"/>
        <color theme="1"/>
        <rFont val="Calibri"/>
        <family val="2"/>
      </rPr>
      <t>mini</t>
    </r>
    <phoneticPr fontId="1" type="noConversion"/>
  </si>
  <si>
    <r>
      <rPr>
        <sz val="11"/>
        <color theme="1"/>
        <rFont val="宋体"/>
        <family val="3"/>
        <charset val="134"/>
      </rPr>
      <t>二期</t>
    </r>
    <r>
      <rPr>
        <sz val="11"/>
        <color theme="1"/>
        <rFont val="Calibri"/>
        <family val="2"/>
      </rPr>
      <t xml:space="preserve">light </t>
    </r>
    <r>
      <rPr>
        <sz val="11"/>
        <color theme="1"/>
        <rFont val="宋体"/>
        <family val="3"/>
        <charset val="134"/>
      </rPr>
      <t>法国</t>
    </r>
    <phoneticPr fontId="1" type="noConversion"/>
  </si>
  <si>
    <r>
      <rPr>
        <sz val="11"/>
        <color theme="1"/>
        <rFont val="宋体"/>
        <family val="3"/>
        <charset val="134"/>
      </rPr>
      <t>二期</t>
    </r>
    <r>
      <rPr>
        <sz val="11"/>
        <color theme="1"/>
        <rFont val="Calibri"/>
        <family val="2"/>
      </rPr>
      <t>mini</t>
    </r>
    <phoneticPr fontId="1" type="noConversion"/>
  </si>
  <si>
    <r>
      <rPr>
        <sz val="11"/>
        <color theme="1"/>
        <rFont val="宋体"/>
        <family val="3"/>
        <charset val="134"/>
      </rPr>
      <t>敖基</t>
    </r>
    <phoneticPr fontId="1" type="noConversion"/>
  </si>
  <si>
    <t>CPS</t>
    <phoneticPr fontId="1" type="noConversion"/>
  </si>
  <si>
    <r>
      <rPr>
        <sz val="11"/>
        <color theme="1"/>
        <rFont val="宋体"/>
        <family val="3"/>
        <charset val="134"/>
      </rPr>
      <t>一期</t>
    </r>
    <r>
      <rPr>
        <sz val="11"/>
        <color theme="1"/>
        <rFont val="Calibri"/>
        <family val="2"/>
      </rPr>
      <t>efox</t>
    </r>
    <phoneticPr fontId="1" type="noConversion"/>
  </si>
  <si>
    <r>
      <rPr>
        <sz val="11"/>
        <color theme="1"/>
        <rFont val="宋体"/>
        <family val="3"/>
        <charset val="134"/>
      </rPr>
      <t>二期</t>
    </r>
    <r>
      <rPr>
        <sz val="11"/>
        <color theme="1"/>
        <rFont val="Calibri"/>
        <family val="2"/>
      </rPr>
      <t>deal-age</t>
    </r>
    <phoneticPr fontId="1" type="noConversion"/>
  </si>
  <si>
    <r>
      <rPr>
        <sz val="11"/>
        <color theme="1"/>
        <rFont val="宋体"/>
        <family val="3"/>
        <charset val="134"/>
      </rPr>
      <t>万方网络</t>
    </r>
    <phoneticPr fontId="1" type="noConversion"/>
  </si>
  <si>
    <r>
      <rPr>
        <sz val="11"/>
        <color theme="1"/>
        <rFont val="宋体"/>
        <family val="3"/>
        <charset val="134"/>
      </rPr>
      <t>丹宏昊天</t>
    </r>
  </si>
  <si>
    <r>
      <rPr>
        <sz val="11"/>
        <color theme="1"/>
        <rFont val="宋体"/>
        <family val="3"/>
        <charset val="134"/>
      </rPr>
      <t>终止</t>
    </r>
    <phoneticPr fontId="1" type="noConversion"/>
  </si>
  <si>
    <r>
      <rPr>
        <sz val="11"/>
        <color theme="1"/>
        <rFont val="宋体"/>
        <family val="3"/>
        <charset val="134"/>
      </rPr>
      <t>汤斯敦</t>
    </r>
  </si>
  <si>
    <r>
      <rPr>
        <sz val="11"/>
        <color theme="1"/>
        <rFont val="宋体"/>
        <family val="3"/>
        <charset val="134"/>
      </rPr>
      <t>南京科泰</t>
    </r>
  </si>
  <si>
    <r>
      <rPr>
        <sz val="11"/>
        <color theme="1"/>
        <rFont val="宋体"/>
        <family val="3"/>
        <charset val="134"/>
      </rPr>
      <t>一期眼镜组</t>
    </r>
    <phoneticPr fontId="1" type="noConversion"/>
  </si>
  <si>
    <r>
      <rPr>
        <sz val="11"/>
        <color theme="1"/>
        <rFont val="宋体"/>
        <family val="3"/>
        <charset val="134"/>
      </rPr>
      <t>一期服装组</t>
    </r>
    <phoneticPr fontId="1" type="noConversion"/>
  </si>
  <si>
    <r>
      <rPr>
        <sz val="11"/>
        <color theme="1"/>
        <rFont val="宋体"/>
        <family val="3"/>
        <charset val="134"/>
      </rPr>
      <t>米兰网</t>
    </r>
  </si>
  <si>
    <r>
      <rPr>
        <sz val="11"/>
        <color theme="1"/>
        <rFont val="宋体"/>
        <family val="3"/>
        <charset val="134"/>
      </rPr>
      <t>天成网络（莆田）</t>
    </r>
    <phoneticPr fontId="1" type="noConversion"/>
  </si>
  <si>
    <t>Focal Price</t>
    <phoneticPr fontId="1" type="noConversion"/>
  </si>
  <si>
    <r>
      <rPr>
        <sz val="11"/>
        <color theme="1"/>
        <rFont val="宋体"/>
        <family val="3"/>
        <charset val="134"/>
      </rPr>
      <t>一期</t>
    </r>
    <phoneticPr fontId="1" type="noConversion"/>
  </si>
  <si>
    <r>
      <rPr>
        <sz val="11"/>
        <color theme="1"/>
        <rFont val="宋体"/>
        <family val="3"/>
        <charset val="134"/>
      </rPr>
      <t>一期</t>
    </r>
    <r>
      <rPr>
        <sz val="11"/>
        <color theme="1"/>
        <rFont val="Calibri"/>
        <family val="2"/>
      </rPr>
      <t>CPC</t>
    </r>
    <phoneticPr fontId="1" type="noConversion"/>
  </si>
  <si>
    <r>
      <rPr>
        <sz val="11"/>
        <color theme="1"/>
        <rFont val="宋体"/>
        <family val="3"/>
        <charset val="134"/>
      </rPr>
      <t>二期</t>
    </r>
    <r>
      <rPr>
        <sz val="11"/>
        <color theme="1"/>
        <rFont val="Calibri"/>
        <family val="2"/>
      </rPr>
      <t>CPS</t>
    </r>
    <phoneticPr fontId="1" type="noConversion"/>
  </si>
  <si>
    <r>
      <rPr>
        <sz val="11"/>
        <color theme="1"/>
        <rFont val="宋体"/>
        <family val="3"/>
        <charset val="134"/>
      </rPr>
      <t>开户费</t>
    </r>
    <r>
      <rPr>
        <sz val="11"/>
        <color theme="1"/>
        <rFont val="Calibri"/>
        <family val="2"/>
      </rPr>
      <t>: $500;</t>
    </r>
    <phoneticPr fontId="1" type="noConversion"/>
  </si>
  <si>
    <t>订单金额</t>
    <phoneticPr fontId="1" type="noConversion"/>
  </si>
  <si>
    <t>NI-DSP-20120928</t>
    <phoneticPr fontId="1" type="noConversion"/>
  </si>
  <si>
    <t>NI-DSP-20121029</t>
    <phoneticPr fontId="1" type="noConversion"/>
  </si>
  <si>
    <r>
      <rPr>
        <sz val="11"/>
        <color theme="1"/>
        <rFont val="宋体"/>
        <family val="3"/>
        <charset val="134"/>
      </rPr>
      <t>三期</t>
    </r>
    <r>
      <rPr>
        <sz val="11"/>
        <color theme="1"/>
        <rFont val="Calibri"/>
        <family val="2"/>
      </rPr>
      <t>CPS</t>
    </r>
    <phoneticPr fontId="1" type="noConversion"/>
  </si>
  <si>
    <t>NI-DSP-20120709</t>
    <phoneticPr fontId="1" type="noConversion"/>
  </si>
  <si>
    <t>NI-DSP-20120813</t>
    <phoneticPr fontId="1" type="noConversion"/>
  </si>
  <si>
    <r>
      <rPr>
        <sz val="11"/>
        <color theme="1"/>
        <rFont val="宋体"/>
        <family val="3"/>
        <charset val="134"/>
      </rPr>
      <t>预付佣金：</t>
    </r>
    <r>
      <rPr>
        <sz val="11"/>
        <color theme="1"/>
        <rFont val="Calibri"/>
        <family val="2"/>
      </rPr>
      <t>700</t>
    </r>
    <r>
      <rPr>
        <sz val="11"/>
        <color theme="1"/>
        <rFont val="宋体"/>
        <family val="3"/>
        <charset val="134"/>
      </rPr>
      <t>欧元</t>
    </r>
    <r>
      <rPr>
        <sz val="11"/>
        <color theme="1"/>
        <rFont val="Calibri"/>
        <family val="2"/>
      </rPr>
      <t>;</t>
    </r>
    <phoneticPr fontId="1" type="noConversion"/>
  </si>
  <si>
    <r>
      <rPr>
        <sz val="11"/>
        <color theme="1"/>
        <rFont val="宋体"/>
        <family val="3"/>
        <charset val="134"/>
      </rPr>
      <t>预付佣金：</t>
    </r>
    <r>
      <rPr>
        <sz val="11"/>
        <color theme="1"/>
        <rFont val="Calibri"/>
        <family val="2"/>
      </rPr>
      <t>$16,380;</t>
    </r>
    <phoneticPr fontId="1" type="noConversion"/>
  </si>
  <si>
    <r>
      <rPr>
        <sz val="11"/>
        <color theme="1"/>
        <rFont val="宋体"/>
        <family val="3"/>
        <charset val="134"/>
      </rPr>
      <t>预付佣金：</t>
    </r>
    <r>
      <rPr>
        <sz val="11"/>
        <color theme="1"/>
        <rFont val="Calibri"/>
        <family val="2"/>
      </rPr>
      <t>$40,435;</t>
    </r>
    <phoneticPr fontId="1" type="noConversion"/>
  </si>
  <si>
    <t>NI-DSP-20120731</t>
    <phoneticPr fontId="1" type="noConversion"/>
  </si>
  <si>
    <t>到期日期</t>
    <phoneticPr fontId="1" type="noConversion"/>
  </si>
  <si>
    <r>
      <t>20%</t>
    </r>
    <r>
      <rPr>
        <sz val="11"/>
        <color theme="1"/>
        <rFont val="宋体"/>
        <family val="3"/>
        <charset val="134"/>
      </rPr>
      <t>佣金分成</t>
    </r>
    <phoneticPr fontId="1" type="noConversion"/>
  </si>
  <si>
    <r>
      <t>10%</t>
    </r>
    <r>
      <rPr>
        <sz val="11"/>
        <color theme="1"/>
        <rFont val="宋体"/>
        <family val="3"/>
        <charset val="134"/>
      </rPr>
      <t>服务费</t>
    </r>
    <phoneticPr fontId="1" type="noConversion"/>
  </si>
  <si>
    <r>
      <t>15%</t>
    </r>
    <r>
      <rPr>
        <sz val="11"/>
        <color theme="1"/>
        <rFont val="宋体"/>
        <family val="3"/>
        <charset val="134"/>
      </rPr>
      <t>佣金分成</t>
    </r>
    <phoneticPr fontId="1" type="noConversion"/>
  </si>
  <si>
    <r>
      <t>7%</t>
    </r>
    <r>
      <rPr>
        <sz val="11"/>
        <color theme="1"/>
        <rFont val="宋体"/>
        <family val="3"/>
        <charset val="134"/>
      </rPr>
      <t>佣金分成</t>
    </r>
    <phoneticPr fontId="1" type="noConversion"/>
  </si>
  <si>
    <r>
      <t>8%</t>
    </r>
    <r>
      <rPr>
        <sz val="11"/>
        <color theme="1"/>
        <rFont val="宋体"/>
        <family val="3"/>
        <charset val="134"/>
      </rPr>
      <t>佣金分成</t>
    </r>
    <phoneticPr fontId="1" type="noConversion"/>
  </si>
  <si>
    <t>CPC $0.3</t>
    <phoneticPr fontId="1" type="noConversion"/>
  </si>
  <si>
    <r>
      <t>18%</t>
    </r>
    <r>
      <rPr>
        <sz val="11"/>
        <color theme="1"/>
        <rFont val="宋体"/>
        <family val="3"/>
        <charset val="134"/>
      </rPr>
      <t>佣金分成</t>
    </r>
    <phoneticPr fontId="1" type="noConversion"/>
  </si>
  <si>
    <r>
      <rPr>
        <sz val="11"/>
        <color theme="1"/>
        <rFont val="宋体"/>
        <family val="3"/>
        <charset val="134"/>
      </rPr>
      <t>月销售额小于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</rPr>
      <t>万美元，</t>
    </r>
    <r>
      <rPr>
        <sz val="11"/>
        <color theme="1"/>
        <rFont val="Calibri"/>
        <family val="2"/>
      </rPr>
      <t>15%</t>
    </r>
    <r>
      <rPr>
        <sz val="11"/>
        <color theme="1"/>
        <rFont val="宋体"/>
        <family val="3"/>
        <charset val="134"/>
      </rPr>
      <t>；月销售额</t>
    </r>
    <r>
      <rPr>
        <sz val="11"/>
        <color theme="1"/>
        <rFont val="Calibri"/>
        <family val="2"/>
      </rPr>
      <t xml:space="preserve"> 1W</t>
    </r>
    <r>
      <rPr>
        <sz val="11"/>
        <color theme="1"/>
        <rFont val="宋体"/>
        <family val="3"/>
        <charset val="134"/>
      </rPr>
      <t>美金以上每增加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</rPr>
      <t>万美金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宋体"/>
        <family val="3"/>
        <charset val="134"/>
      </rPr>
      <t>加一个点，直至</t>
    </r>
    <r>
      <rPr>
        <sz val="11"/>
        <color theme="1"/>
        <rFont val="Calibri"/>
        <family val="2"/>
      </rPr>
      <t xml:space="preserve"> 20%</t>
    </r>
    <r>
      <rPr>
        <sz val="11"/>
        <color theme="1"/>
        <rFont val="宋体"/>
        <family val="3"/>
        <charset val="134"/>
      </rPr>
      <t>为止。</t>
    </r>
    <phoneticPr fontId="1" type="noConversion"/>
  </si>
  <si>
    <t>NI-DSP-201201011</t>
    <phoneticPr fontId="1" type="noConversion"/>
  </si>
  <si>
    <r>
      <rPr>
        <sz val="11"/>
        <color theme="1"/>
        <rFont val="宋体"/>
        <family val="3"/>
        <charset val="134"/>
      </rPr>
      <t>绝对新用户</t>
    </r>
    <r>
      <rPr>
        <sz val="11"/>
        <color theme="1"/>
        <rFont val="Calibri"/>
        <family val="2"/>
      </rPr>
      <t>3</t>
    </r>
    <r>
      <rPr>
        <sz val="11"/>
        <color theme="1"/>
        <rFont val="宋体"/>
        <family val="3"/>
        <charset val="134"/>
      </rPr>
      <t>年转化（跟踪</t>
    </r>
    <r>
      <rPr>
        <sz val="11"/>
        <color theme="1"/>
        <rFont val="Calibri"/>
        <family val="2"/>
      </rPr>
      <t>cookie</t>
    </r>
    <r>
      <rPr>
        <sz val="11"/>
        <color theme="1"/>
        <rFont val="宋体"/>
        <family val="3"/>
        <charset val="134"/>
      </rPr>
      <t>）</t>
    </r>
    <phoneticPr fontId="1" type="noConversion"/>
  </si>
  <si>
    <t>完成</t>
    <phoneticPr fontId="1" type="noConversion"/>
  </si>
  <si>
    <t>执行中</t>
    <phoneticPr fontId="1" type="noConversion"/>
  </si>
  <si>
    <t>未开始</t>
    <phoneticPr fontId="1" type="noConversion"/>
  </si>
  <si>
    <t>CPS</t>
    <phoneticPr fontId="1" type="noConversion"/>
  </si>
  <si>
    <t>CPC</t>
    <phoneticPr fontId="1" type="noConversion"/>
  </si>
  <si>
    <t>NI-DSP-20120801</t>
    <phoneticPr fontId="1" type="noConversion"/>
  </si>
  <si>
    <t>一期后续</t>
    <phoneticPr fontId="1" type="noConversion"/>
  </si>
  <si>
    <t>NI-DSP-20120831</t>
    <phoneticPr fontId="1" type="noConversion"/>
  </si>
  <si>
    <t>前期投放效果欠佳目前暂停投放</t>
    <phoneticPr fontId="1" type="noConversion"/>
  </si>
  <si>
    <t>效果欠佳客户提前终止</t>
    <phoneticPr fontId="1" type="noConversion"/>
  </si>
  <si>
    <r>
      <rPr>
        <sz val="11"/>
        <color theme="1"/>
        <rFont val="宋体"/>
        <family val="3"/>
        <charset val="134"/>
      </rPr>
      <t>广告费用</t>
    </r>
    <r>
      <rPr>
        <sz val="11"/>
        <color theme="1"/>
        <rFont val="Calibri"/>
        <family val="2"/>
      </rPr>
      <t xml:space="preserve">: $2,5000;
</t>
    </r>
    <r>
      <rPr>
        <sz val="11"/>
        <color theme="1"/>
        <rFont val="宋体"/>
        <family val="3"/>
        <charset val="134"/>
      </rPr>
      <t>服务费</t>
    </r>
    <r>
      <rPr>
        <sz val="11"/>
        <color theme="1"/>
        <rFont val="Calibri"/>
        <family val="2"/>
      </rPr>
      <t>: $2,500;</t>
    </r>
    <phoneticPr fontId="1" type="noConversion"/>
  </si>
  <si>
    <r>
      <rPr>
        <sz val="11"/>
        <color theme="1"/>
        <rFont val="宋体"/>
        <family val="3"/>
        <charset val="134"/>
      </rPr>
      <t>广告费用</t>
    </r>
    <r>
      <rPr>
        <sz val="11"/>
        <color theme="1"/>
        <rFont val="Calibri"/>
        <family val="2"/>
      </rPr>
      <t xml:space="preserve">: $6,000;
</t>
    </r>
    <r>
      <rPr>
        <sz val="11"/>
        <color theme="1"/>
        <rFont val="宋体"/>
        <family val="3"/>
        <charset val="134"/>
      </rPr>
      <t>服务费</t>
    </r>
    <r>
      <rPr>
        <sz val="11"/>
        <color theme="1"/>
        <rFont val="Calibri"/>
        <family val="2"/>
      </rPr>
      <t>: $600;</t>
    </r>
    <phoneticPr fontId="1" type="noConversion"/>
  </si>
  <si>
    <r>
      <rPr>
        <sz val="11"/>
        <color theme="1"/>
        <rFont val="宋体"/>
        <family val="3"/>
        <charset val="134"/>
      </rPr>
      <t>广告费用</t>
    </r>
    <r>
      <rPr>
        <sz val="11"/>
        <color theme="1"/>
        <rFont val="Calibri"/>
        <family val="2"/>
      </rPr>
      <t>: 6,000</t>
    </r>
    <r>
      <rPr>
        <sz val="11"/>
        <color theme="1"/>
        <rFont val="宋体"/>
        <family val="3"/>
        <charset val="134"/>
      </rPr>
      <t>欧元</t>
    </r>
    <r>
      <rPr>
        <sz val="11"/>
        <color theme="1"/>
        <rFont val="Calibri"/>
        <family val="2"/>
      </rPr>
      <t xml:space="preserve">;
</t>
    </r>
    <r>
      <rPr>
        <sz val="11"/>
        <color theme="1"/>
        <rFont val="宋体"/>
        <family val="3"/>
        <charset val="134"/>
      </rPr>
      <t>服务费</t>
    </r>
    <r>
      <rPr>
        <sz val="11"/>
        <color theme="1"/>
        <rFont val="Calibri"/>
        <family val="2"/>
      </rPr>
      <t>: 600</t>
    </r>
    <r>
      <rPr>
        <sz val="11"/>
        <color theme="1"/>
        <rFont val="宋体"/>
        <family val="3"/>
        <charset val="134"/>
      </rPr>
      <t>欧元</t>
    </r>
    <r>
      <rPr>
        <sz val="11"/>
        <color theme="1"/>
        <rFont val="Calibri"/>
        <family val="2"/>
      </rPr>
      <t>;</t>
    </r>
    <phoneticPr fontId="1" type="noConversion"/>
  </si>
  <si>
    <r>
      <rPr>
        <sz val="11"/>
        <color theme="1"/>
        <rFont val="宋体"/>
        <family val="3"/>
        <charset val="134"/>
      </rPr>
      <t>开户费</t>
    </r>
    <r>
      <rPr>
        <sz val="11"/>
        <color theme="1"/>
        <rFont val="Calibri"/>
        <family val="2"/>
      </rPr>
      <t xml:space="preserve">: $1,000;
</t>
    </r>
    <r>
      <rPr>
        <sz val="11"/>
        <color theme="1"/>
        <rFont val="宋体"/>
        <family val="3"/>
        <charset val="134"/>
      </rPr>
      <t>首月广告费用</t>
    </r>
    <r>
      <rPr>
        <sz val="11"/>
        <color theme="1"/>
        <rFont val="Calibri"/>
        <family val="2"/>
      </rPr>
      <t xml:space="preserve">: $3,000;
</t>
    </r>
    <r>
      <rPr>
        <sz val="11"/>
        <color theme="1"/>
        <rFont val="宋体"/>
        <family val="3"/>
        <charset val="134"/>
      </rPr>
      <t>服务费</t>
    </r>
    <r>
      <rPr>
        <sz val="11"/>
        <color theme="1"/>
        <rFont val="Calibri"/>
        <family val="2"/>
      </rPr>
      <t>: $300;</t>
    </r>
    <phoneticPr fontId="1" type="noConversion"/>
  </si>
  <si>
    <r>
      <rPr>
        <sz val="11"/>
        <color theme="1"/>
        <rFont val="宋体"/>
        <family val="3"/>
        <charset val="134"/>
      </rPr>
      <t>首月广告费用</t>
    </r>
    <r>
      <rPr>
        <sz val="11"/>
        <color theme="1"/>
        <rFont val="Calibri"/>
        <family val="2"/>
      </rPr>
      <t xml:space="preserve">: $3,000;
</t>
    </r>
    <r>
      <rPr>
        <sz val="11"/>
        <color theme="1"/>
        <rFont val="宋体"/>
        <family val="3"/>
        <charset val="134"/>
      </rPr>
      <t>服务费</t>
    </r>
    <r>
      <rPr>
        <sz val="11"/>
        <color theme="1"/>
        <rFont val="Calibri"/>
        <family val="2"/>
      </rPr>
      <t xml:space="preserve">: $300;
</t>
    </r>
    <r>
      <rPr>
        <sz val="11"/>
        <color theme="1"/>
        <rFont val="宋体"/>
        <family val="3"/>
        <charset val="134"/>
      </rPr>
      <t>开户费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宋体"/>
        <family val="3"/>
        <charset val="134"/>
      </rPr>
      <t>免除；</t>
    </r>
    <phoneticPr fontId="1" type="noConversion"/>
  </si>
  <si>
    <r>
      <rPr>
        <sz val="11"/>
        <color theme="1"/>
        <rFont val="宋体"/>
        <family val="3"/>
        <charset val="134"/>
      </rPr>
      <t>开户费：</t>
    </r>
    <r>
      <rPr>
        <sz val="11"/>
        <color theme="1"/>
        <rFont val="Calibri"/>
        <family val="2"/>
      </rPr>
      <t xml:space="preserve">$1,000;
</t>
    </r>
    <r>
      <rPr>
        <sz val="11"/>
        <color theme="1"/>
        <rFont val="宋体"/>
        <family val="3"/>
        <charset val="134"/>
      </rPr>
      <t>预付佣金：</t>
    </r>
    <r>
      <rPr>
        <sz val="11"/>
        <color theme="1"/>
        <rFont val="Calibri"/>
        <family val="2"/>
      </rPr>
      <t>$1,000;</t>
    </r>
    <phoneticPr fontId="1" type="noConversion"/>
  </si>
  <si>
    <r>
      <rPr>
        <sz val="11"/>
        <color theme="1"/>
        <rFont val="宋体"/>
        <family val="3"/>
        <charset val="134"/>
      </rPr>
      <t>预付佣金：</t>
    </r>
    <r>
      <rPr>
        <sz val="11"/>
        <color theme="1"/>
        <rFont val="Calibri"/>
        <family val="2"/>
      </rPr>
      <t>$1,000;</t>
    </r>
    <phoneticPr fontId="1" type="noConversion"/>
  </si>
  <si>
    <r>
      <rPr>
        <sz val="11"/>
        <color theme="1"/>
        <rFont val="宋体"/>
        <family val="3"/>
        <charset val="134"/>
      </rPr>
      <t>开户费：</t>
    </r>
    <r>
      <rPr>
        <sz val="11"/>
        <color theme="1"/>
        <rFont val="Calibri"/>
        <family val="2"/>
      </rPr>
      <t xml:space="preserve">$1500;
</t>
    </r>
    <r>
      <rPr>
        <sz val="11"/>
        <color theme="1"/>
        <rFont val="宋体"/>
        <family val="3"/>
        <charset val="134"/>
      </rPr>
      <t>广告投放费用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宋体"/>
        <family val="3"/>
        <charset val="134"/>
      </rPr>
      <t>￥</t>
    </r>
    <r>
      <rPr>
        <sz val="11"/>
        <color theme="1"/>
        <rFont val="Calibri"/>
        <family val="2"/>
      </rPr>
      <t xml:space="preserve">30,000;
</t>
    </r>
    <r>
      <rPr>
        <sz val="11"/>
        <color theme="1"/>
        <rFont val="宋体"/>
        <family val="3"/>
        <charset val="134"/>
      </rPr>
      <t>服务费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宋体"/>
        <family val="3"/>
        <charset val="134"/>
      </rPr>
      <t>￥</t>
    </r>
    <r>
      <rPr>
        <sz val="11"/>
        <color theme="1"/>
        <rFont val="Calibri"/>
        <family val="2"/>
      </rPr>
      <t>3,000;</t>
    </r>
    <phoneticPr fontId="1" type="noConversion"/>
  </si>
  <si>
    <r>
      <rPr>
        <sz val="11"/>
        <color theme="1"/>
        <rFont val="宋体"/>
        <family val="3"/>
        <charset val="134"/>
      </rPr>
      <t>开户费：</t>
    </r>
    <r>
      <rPr>
        <sz val="11"/>
        <color theme="1"/>
        <rFont val="Calibri"/>
        <family val="2"/>
      </rPr>
      <t>$1,000;</t>
    </r>
    <phoneticPr fontId="1" type="noConversion"/>
  </si>
  <si>
    <r>
      <rPr>
        <sz val="11"/>
        <color theme="1"/>
        <rFont val="宋体"/>
        <family val="3"/>
        <charset val="134"/>
      </rPr>
      <t>开户费：</t>
    </r>
    <r>
      <rPr>
        <sz val="11"/>
        <color theme="1"/>
        <rFont val="Calibri"/>
        <family val="2"/>
      </rPr>
      <t xml:space="preserve">$1,000;
</t>
    </r>
    <r>
      <rPr>
        <sz val="11"/>
        <color theme="1"/>
        <rFont val="宋体"/>
        <family val="3"/>
        <charset val="134"/>
      </rPr>
      <t>预付佣金：</t>
    </r>
    <r>
      <rPr>
        <sz val="11"/>
        <color theme="1"/>
        <rFont val="Calibri"/>
        <family val="2"/>
      </rPr>
      <t>$5,250;</t>
    </r>
    <phoneticPr fontId="1" type="noConversion"/>
  </si>
  <si>
    <t>已付金额(美元)</t>
    <phoneticPr fontId="1" type="noConversion"/>
  </si>
  <si>
    <t>合计：</t>
    <phoneticPr fontId="1" type="noConversion"/>
  </si>
  <si>
    <t>付款日期</t>
    <phoneticPr fontId="1" type="noConversion"/>
  </si>
  <si>
    <r>
      <rPr>
        <sz val="11"/>
        <color theme="1"/>
        <rFont val="宋体"/>
        <family val="3"/>
        <charset val="134"/>
      </rPr>
      <t>全部人民币支付，
到款￥</t>
    </r>
    <r>
      <rPr>
        <sz val="11"/>
        <color theme="1"/>
        <rFont val="Calibri"/>
        <family val="2"/>
      </rPr>
      <t>19,048</t>
    </r>
    <r>
      <rPr>
        <sz val="11"/>
        <color theme="1"/>
        <rFont val="宋体"/>
        <family val="3"/>
        <charset val="134"/>
      </rPr>
      <t>。</t>
    </r>
    <phoneticPr fontId="1" type="noConversion"/>
  </si>
  <si>
    <r>
      <rPr>
        <sz val="11"/>
        <color theme="1"/>
        <rFont val="宋体"/>
        <family val="3"/>
        <charset val="134"/>
      </rPr>
      <t>全部人民币支付，
到款￥</t>
    </r>
    <r>
      <rPr>
        <sz val="11"/>
        <color theme="1"/>
        <rFont val="Calibri"/>
        <family val="2"/>
      </rPr>
      <t>42,441</t>
    </r>
    <r>
      <rPr>
        <sz val="11"/>
        <color theme="1"/>
        <rFont val="宋体"/>
        <family val="3"/>
        <charset val="134"/>
      </rPr>
      <t>。</t>
    </r>
    <phoneticPr fontId="1" type="noConversion"/>
  </si>
  <si>
    <t>泰坦信息（福州）</t>
    <phoneticPr fontId="1" type="noConversion"/>
  </si>
  <si>
    <t>NI-DSP-20121116</t>
    <phoneticPr fontId="1" type="noConversion"/>
  </si>
  <si>
    <r>
      <rPr>
        <sz val="11"/>
        <color theme="1"/>
        <rFont val="宋体"/>
        <family val="3"/>
        <charset val="134"/>
      </rPr>
      <t>开户费：</t>
    </r>
    <r>
      <rPr>
        <sz val="11"/>
        <color theme="1"/>
        <rFont val="Calibri"/>
        <family val="2"/>
      </rPr>
      <t xml:space="preserve">$800;
</t>
    </r>
    <r>
      <rPr>
        <sz val="11"/>
        <color theme="1"/>
        <rFont val="宋体"/>
        <family val="3"/>
        <charset val="134"/>
      </rPr>
      <t>广告投放费用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宋体"/>
        <family val="3"/>
        <charset val="134"/>
      </rPr>
      <t>￥</t>
    </r>
    <r>
      <rPr>
        <sz val="11"/>
        <color theme="1"/>
        <rFont val="Calibri"/>
        <family val="2"/>
      </rPr>
      <t xml:space="preserve">30,000;
</t>
    </r>
    <r>
      <rPr>
        <sz val="11"/>
        <color theme="1"/>
        <rFont val="宋体"/>
        <family val="3"/>
        <charset val="134"/>
      </rPr>
      <t>服务费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宋体"/>
        <family val="3"/>
        <charset val="134"/>
      </rPr>
      <t>免除</t>
    </r>
    <r>
      <rPr>
        <sz val="11"/>
        <color theme="1"/>
        <rFont val="Calibri"/>
        <family val="2"/>
      </rPr>
      <t>;</t>
    </r>
    <phoneticPr fontId="1" type="noConversion"/>
  </si>
  <si>
    <t>全部人民币支付，
到款￥34,988。</t>
    <phoneticPr fontId="1" type="noConversion"/>
  </si>
  <si>
    <t>签订公司</t>
    <phoneticPr fontId="1" type="noConversion"/>
  </si>
  <si>
    <t>好耶</t>
    <phoneticPr fontId="1" type="noConversion"/>
  </si>
  <si>
    <t>创腾</t>
    <phoneticPr fontId="1" type="noConversion"/>
  </si>
  <si>
    <t>烁思百</t>
    <phoneticPr fontId="1" type="noConversion"/>
  </si>
  <si>
    <t>福建朱总</t>
    <phoneticPr fontId="1" type="noConversion"/>
  </si>
  <si>
    <t>巨人网络</t>
    <phoneticPr fontId="1" type="noConversion"/>
  </si>
  <si>
    <t>淘宝TANX</t>
    <phoneticPr fontId="1" type="noConversion"/>
  </si>
  <si>
    <t>鼎翰</t>
    <phoneticPr fontId="1" type="noConversion"/>
  </si>
  <si>
    <t>吟泽</t>
    <phoneticPr fontId="1" type="noConversion"/>
  </si>
  <si>
    <t>万方网络</t>
    <phoneticPr fontId="1" type="noConversion"/>
  </si>
  <si>
    <t>NI-DSP-20130306</t>
    <phoneticPr fontId="1" type="noConversion"/>
  </si>
  <si>
    <t>NI-DSP-20130323</t>
    <phoneticPr fontId="1" type="noConversion"/>
  </si>
  <si>
    <t>NI-DSP-20130111</t>
    <phoneticPr fontId="1" type="noConversion"/>
  </si>
  <si>
    <t>ETT500N2920456</t>
    <phoneticPr fontId="1" type="noConversion"/>
  </si>
  <si>
    <t>NI-DSP-20130109</t>
    <phoneticPr fontId="1" type="noConversion"/>
  </si>
  <si>
    <t>HT0413020021</t>
    <phoneticPr fontId="1" type="noConversion"/>
  </si>
  <si>
    <t>鼎翰</t>
    <phoneticPr fontId="1" type="noConversion"/>
  </si>
  <si>
    <t>吟泽</t>
    <phoneticPr fontId="1" type="noConversion"/>
  </si>
  <si>
    <t>序号</t>
    <phoneticPr fontId="1" type="noConversion"/>
  </si>
</sst>
</file>

<file path=xl/styles.xml><?xml version="1.0" encoding="utf-8"?>
<styleSheet xmlns="http://schemas.openxmlformats.org/spreadsheetml/2006/main">
  <numFmts count="4">
    <numFmt numFmtId="26" formatCode="\$#,##0.00_);[Red]\(\$#,##0.00\)"/>
    <numFmt numFmtId="176" formatCode="&quot;¥&quot;#,##0.00;[Red]&quot;¥&quot;#,##0.00"/>
    <numFmt numFmtId="177" formatCode="[$€-2]\ #,##0.00_);[Red]\([$€-2]\ #,##0.00\)"/>
    <numFmt numFmtId="178" formatCode="&quot;¥&quot;#,##0.00_);[Red]\(&quot;¥&quot;#,##0.00\)"/>
  </numFmts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name val="Calibri"/>
      <family val="2"/>
    </font>
    <font>
      <b/>
      <sz val="11"/>
      <name val="宋体"/>
      <family val="3"/>
      <charset val="134"/>
    </font>
    <font>
      <b/>
      <sz val="11"/>
      <color theme="1"/>
      <name val="Calibri"/>
      <family val="2"/>
    </font>
    <font>
      <b/>
      <sz val="11"/>
      <color theme="1"/>
      <name val="宋体"/>
      <family val="3"/>
      <charset val="134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宋体"/>
      <family val="3"/>
      <charset val="134"/>
    </font>
    <font>
      <sz val="11"/>
      <color theme="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6" fillId="2" borderId="0" xfId="0" applyFont="1" applyFill="1">
      <alignment vertical="center"/>
    </xf>
    <xf numFmtId="0" fontId="7" fillId="4" borderId="1" xfId="0" applyFont="1" applyFill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176" fontId="6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176" fontId="6" fillId="2" borderId="1" xfId="0" applyNumberFormat="1" applyFont="1" applyFill="1" applyBorder="1" applyAlignment="1">
      <alignment horizontal="left" vertical="center" wrapText="1"/>
    </xf>
    <xf numFmtId="0" fontId="6" fillId="2" borderId="0" xfId="0" applyNumberFormat="1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6" fillId="2" borderId="0" xfId="0" applyFont="1" applyFill="1" applyBorder="1" applyAlignment="1">
      <alignment horizontal="left" vertical="center"/>
    </xf>
    <xf numFmtId="176" fontId="6" fillId="2" borderId="0" xfId="0" applyNumberFormat="1" applyFont="1" applyFill="1" applyBorder="1">
      <alignment vertical="center"/>
    </xf>
    <xf numFmtId="0" fontId="6" fillId="2" borderId="0" xfId="0" applyFont="1" applyFill="1" applyBorder="1" applyAlignment="1">
      <alignment horizontal="center" vertical="center"/>
    </xf>
    <xf numFmtId="176" fontId="6" fillId="2" borderId="0" xfId="0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26" fontId="6" fillId="2" borderId="1" xfId="0" applyNumberFormat="1" applyFont="1" applyFill="1" applyBorder="1" applyAlignment="1">
      <alignment vertical="center"/>
    </xf>
    <xf numFmtId="177" fontId="6" fillId="2" borderId="1" xfId="0" applyNumberFormat="1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center" vertical="center"/>
    </xf>
    <xf numFmtId="178" fontId="6" fillId="2" borderId="1" xfId="0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 wrapText="1"/>
    </xf>
    <xf numFmtId="31" fontId="6" fillId="2" borderId="1" xfId="0" applyNumberFormat="1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/>
    </xf>
    <xf numFmtId="0" fontId="6" fillId="7" borderId="1" xfId="0" applyNumberFormat="1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31" fontId="6" fillId="7" borderId="1" xfId="0" applyNumberFormat="1" applyFont="1" applyFill="1" applyBorder="1" applyAlignment="1">
      <alignment horizontal="left" vertical="center"/>
    </xf>
    <xf numFmtId="26" fontId="6" fillId="7" borderId="1" xfId="0" applyNumberFormat="1" applyFont="1" applyFill="1" applyBorder="1" applyAlignment="1">
      <alignment vertical="center"/>
    </xf>
    <xf numFmtId="176" fontId="6" fillId="7" borderId="1" xfId="0" applyNumberFormat="1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0" fontId="2" fillId="3" borderId="3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31" fontId="6" fillId="2" borderId="2" xfId="0" applyNumberFormat="1" applyFont="1" applyFill="1" applyBorder="1" applyAlignment="1">
      <alignment horizontal="left" vertical="center"/>
    </xf>
    <xf numFmtId="31" fontId="6" fillId="2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T33"/>
  <sheetViews>
    <sheetView workbookViewId="0">
      <pane xSplit="5" ySplit="3" topLeftCell="F14" activePane="bottomRight" state="frozen"/>
      <selection pane="topRight" activeCell="E1" sqref="E1"/>
      <selection pane="bottomLeft" activeCell="A4" sqref="A4"/>
      <selection pane="bottomRight" activeCell="E22" sqref="E22"/>
    </sheetView>
  </sheetViews>
  <sheetFormatPr defaultRowHeight="15"/>
  <cols>
    <col min="1" max="1" width="2.25" style="1" customWidth="1"/>
    <col min="2" max="2" width="6.5" style="8" customWidth="1"/>
    <col min="3" max="3" width="15" style="9" bestFit="1" customWidth="1"/>
    <col min="4" max="4" width="15" style="9" customWidth="1"/>
    <col min="5" max="5" width="23.25" style="10" customWidth="1"/>
    <col min="6" max="6" width="14.625" style="9" bestFit="1" customWidth="1"/>
    <col min="7" max="7" width="13.625" style="9" customWidth="1"/>
    <col min="8" max="8" width="15.125" style="9" customWidth="1"/>
    <col min="9" max="9" width="15.125" style="10" customWidth="1"/>
    <col min="10" max="10" width="27.625" style="9" customWidth="1"/>
    <col min="11" max="11" width="15.125" style="12" customWidth="1"/>
    <col min="12" max="12" width="15.125" style="9" customWidth="1"/>
    <col min="13" max="13" width="15.125" style="9" bestFit="1" customWidth="1"/>
    <col min="14" max="14" width="10.875" style="13" customWidth="1"/>
    <col min="15" max="15" width="21.5" style="11" bestFit="1" customWidth="1"/>
    <col min="16" max="16" width="12.125" style="14" customWidth="1"/>
    <col min="17" max="17" width="16.625" style="14" bestFit="1" customWidth="1"/>
    <col min="18" max="18" width="21.5" style="9" bestFit="1" customWidth="1"/>
    <col min="19" max="20" width="17.25" style="9" bestFit="1" customWidth="1"/>
    <col min="21" max="16384" width="9" style="1"/>
  </cols>
  <sheetData>
    <row r="2" spans="2:20">
      <c r="B2" s="33" t="s">
        <v>0</v>
      </c>
      <c r="C2" s="32" t="s">
        <v>1</v>
      </c>
      <c r="D2" s="32"/>
      <c r="E2" s="32"/>
      <c r="F2" s="32"/>
      <c r="G2" s="32"/>
      <c r="H2" s="32"/>
      <c r="I2" s="32"/>
      <c r="J2" s="32"/>
      <c r="K2" s="32"/>
      <c r="L2" s="32"/>
      <c r="M2" s="31" t="s">
        <v>2</v>
      </c>
      <c r="N2" s="31"/>
      <c r="O2" s="31"/>
      <c r="P2" s="31"/>
      <c r="Q2" s="31"/>
      <c r="R2" s="31"/>
      <c r="S2" s="31"/>
      <c r="T2" s="31"/>
    </row>
    <row r="3" spans="2:20">
      <c r="B3" s="34"/>
      <c r="C3" s="2" t="s">
        <v>3</v>
      </c>
      <c r="D3" s="18" t="s">
        <v>89</v>
      </c>
      <c r="E3" s="2" t="s">
        <v>4</v>
      </c>
      <c r="F3" s="2" t="s">
        <v>5</v>
      </c>
      <c r="G3" s="18" t="s">
        <v>49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18" t="s">
        <v>39</v>
      </c>
      <c r="O3" s="2" t="s">
        <v>12</v>
      </c>
      <c r="P3" s="2" t="s">
        <v>13</v>
      </c>
      <c r="Q3" s="18" t="s">
        <v>80</v>
      </c>
      <c r="R3" s="2" t="s">
        <v>12</v>
      </c>
      <c r="S3" s="2" t="s">
        <v>10</v>
      </c>
      <c r="T3" s="18" t="s">
        <v>82</v>
      </c>
    </row>
    <row r="4" spans="2:20" ht="30">
      <c r="B4" s="3">
        <v>1</v>
      </c>
      <c r="C4" s="4"/>
      <c r="D4" s="4"/>
      <c r="E4" s="4" t="s">
        <v>14</v>
      </c>
      <c r="F4" s="21"/>
      <c r="G4" s="21"/>
      <c r="H4" s="4" t="s">
        <v>15</v>
      </c>
      <c r="I4" s="4" t="s">
        <v>16</v>
      </c>
      <c r="J4" s="4" t="s">
        <v>51</v>
      </c>
      <c r="K4" s="22" t="s">
        <v>60</v>
      </c>
      <c r="L4" s="4"/>
      <c r="M4" s="4" t="s">
        <v>18</v>
      </c>
      <c r="N4" s="16">
        <v>6600</v>
      </c>
      <c r="O4" s="7" t="s">
        <v>71</v>
      </c>
      <c r="P4" s="16">
        <v>6600</v>
      </c>
      <c r="Q4" s="16">
        <v>6600</v>
      </c>
      <c r="R4" s="7" t="s">
        <v>71</v>
      </c>
      <c r="S4" s="4"/>
      <c r="T4" s="21"/>
    </row>
    <row r="5" spans="2:20" ht="30">
      <c r="B5" s="3"/>
      <c r="C5" s="4"/>
      <c r="D5" s="4"/>
      <c r="E5" s="4"/>
      <c r="F5" s="21"/>
      <c r="G5" s="21"/>
      <c r="H5" s="4"/>
      <c r="I5" s="4" t="s">
        <v>16</v>
      </c>
      <c r="J5" s="4" t="s">
        <v>51</v>
      </c>
      <c r="K5" s="22" t="s">
        <v>61</v>
      </c>
      <c r="L5" s="4"/>
      <c r="M5" s="4" t="s">
        <v>19</v>
      </c>
      <c r="N5" s="17">
        <v>6600</v>
      </c>
      <c r="O5" s="7" t="s">
        <v>72</v>
      </c>
      <c r="P5" s="6"/>
      <c r="Q5" s="16"/>
      <c r="R5" s="7"/>
      <c r="S5" s="4"/>
      <c r="T5" s="21"/>
    </row>
    <row r="6" spans="2:20" ht="30">
      <c r="B6" s="3"/>
      <c r="C6" s="4"/>
      <c r="D6" s="4"/>
      <c r="E6" s="4"/>
      <c r="F6" s="21"/>
      <c r="G6" s="21"/>
      <c r="H6" s="4"/>
      <c r="I6" s="4" t="s">
        <v>16</v>
      </c>
      <c r="J6" s="4" t="s">
        <v>51</v>
      </c>
      <c r="K6" s="22" t="s">
        <v>61</v>
      </c>
      <c r="L6" s="4"/>
      <c r="M6" s="4" t="s">
        <v>20</v>
      </c>
      <c r="N6" s="16">
        <v>27500</v>
      </c>
      <c r="O6" s="7" t="s">
        <v>70</v>
      </c>
      <c r="P6" s="6"/>
      <c r="Q6" s="16"/>
      <c r="R6" s="7"/>
      <c r="S6" s="4"/>
      <c r="T6" s="21"/>
    </row>
    <row r="7" spans="2:20">
      <c r="B7" s="3">
        <v>2</v>
      </c>
      <c r="C7" s="4" t="s">
        <v>43</v>
      </c>
      <c r="D7" s="4"/>
      <c r="E7" s="4" t="s">
        <v>21</v>
      </c>
      <c r="F7" s="21">
        <v>41102</v>
      </c>
      <c r="G7" s="21">
        <v>41163</v>
      </c>
      <c r="H7" s="4" t="s">
        <v>15</v>
      </c>
      <c r="I7" s="4" t="s">
        <v>22</v>
      </c>
      <c r="J7" s="4" t="s">
        <v>53</v>
      </c>
      <c r="K7" s="22" t="s">
        <v>60</v>
      </c>
      <c r="L7" s="4"/>
      <c r="M7" s="4" t="s">
        <v>23</v>
      </c>
      <c r="N7" s="17">
        <v>700</v>
      </c>
      <c r="O7" s="5" t="s">
        <v>45</v>
      </c>
      <c r="P7" s="17">
        <v>700</v>
      </c>
      <c r="Q7" s="16">
        <f>P7*1.2711</f>
        <v>889.77</v>
      </c>
      <c r="R7" s="5" t="s">
        <v>45</v>
      </c>
      <c r="S7" s="4"/>
      <c r="T7" s="21"/>
    </row>
    <row r="8" spans="2:20">
      <c r="B8" s="3"/>
      <c r="C8" s="4"/>
      <c r="D8" s="4"/>
      <c r="E8" s="4"/>
      <c r="F8" s="21"/>
      <c r="G8" s="21"/>
      <c r="H8" s="4"/>
      <c r="I8" s="4" t="s">
        <v>22</v>
      </c>
      <c r="J8" s="4" t="s">
        <v>54</v>
      </c>
      <c r="K8" s="22" t="s">
        <v>61</v>
      </c>
      <c r="L8" s="4"/>
      <c r="M8" s="4" t="s">
        <v>24</v>
      </c>
      <c r="N8" s="16">
        <v>0</v>
      </c>
      <c r="O8" s="5"/>
      <c r="P8" s="6"/>
      <c r="Q8" s="16"/>
      <c r="R8" s="5"/>
      <c r="S8" s="4"/>
      <c r="T8" s="21"/>
    </row>
    <row r="9" spans="2:20" ht="27">
      <c r="B9" s="3">
        <v>3</v>
      </c>
      <c r="C9" s="4" t="s">
        <v>48</v>
      </c>
      <c r="D9" s="4"/>
      <c r="E9" s="15" t="s">
        <v>26</v>
      </c>
      <c r="F9" s="21">
        <v>41122</v>
      </c>
      <c r="G9" s="21">
        <v>41182</v>
      </c>
      <c r="H9" s="4" t="s">
        <v>15</v>
      </c>
      <c r="I9" s="4" t="s">
        <v>22</v>
      </c>
      <c r="J9" s="4" t="s">
        <v>50</v>
      </c>
      <c r="K9" s="4" t="s">
        <v>27</v>
      </c>
      <c r="L9" s="23" t="s">
        <v>69</v>
      </c>
      <c r="M9" s="4" t="s">
        <v>35</v>
      </c>
      <c r="N9" s="16">
        <v>500</v>
      </c>
      <c r="O9" s="5" t="s">
        <v>38</v>
      </c>
      <c r="P9" s="16">
        <v>500</v>
      </c>
      <c r="Q9" s="16">
        <v>500</v>
      </c>
      <c r="R9" s="5" t="s">
        <v>38</v>
      </c>
      <c r="S9" s="4"/>
      <c r="T9" s="21">
        <v>41124</v>
      </c>
    </row>
    <row r="10" spans="2:20" ht="45">
      <c r="B10" s="3">
        <v>4</v>
      </c>
      <c r="C10" s="4" t="s">
        <v>65</v>
      </c>
      <c r="D10" s="4"/>
      <c r="E10" s="15" t="s">
        <v>28</v>
      </c>
      <c r="F10" s="21">
        <v>41134</v>
      </c>
      <c r="G10" s="21">
        <v>41223</v>
      </c>
      <c r="H10" s="4" t="s">
        <v>15</v>
      </c>
      <c r="I10" s="4" t="s">
        <v>16</v>
      </c>
      <c r="J10" s="4" t="s">
        <v>51</v>
      </c>
      <c r="K10" s="4" t="s">
        <v>17</v>
      </c>
      <c r="L10" s="23" t="s">
        <v>68</v>
      </c>
      <c r="M10" s="4" t="s">
        <v>35</v>
      </c>
      <c r="N10" s="16">
        <v>4300</v>
      </c>
      <c r="O10" s="7" t="s">
        <v>73</v>
      </c>
      <c r="P10" s="16">
        <v>4300</v>
      </c>
      <c r="Q10" s="16">
        <v>4300</v>
      </c>
      <c r="R10" s="7" t="s">
        <v>73</v>
      </c>
      <c r="S10" s="4"/>
      <c r="T10" s="21">
        <v>41124</v>
      </c>
    </row>
    <row r="11" spans="2:20" ht="30">
      <c r="B11" s="3"/>
      <c r="C11" s="4"/>
      <c r="D11" s="4"/>
      <c r="E11" s="15"/>
      <c r="F11" s="21"/>
      <c r="G11" s="21"/>
      <c r="H11" s="4"/>
      <c r="I11" s="4" t="s">
        <v>16</v>
      </c>
      <c r="J11" s="4" t="s">
        <v>51</v>
      </c>
      <c r="K11" s="22" t="s">
        <v>62</v>
      </c>
      <c r="L11" s="4"/>
      <c r="M11" s="22" t="s">
        <v>66</v>
      </c>
      <c r="N11" s="16">
        <v>6600</v>
      </c>
      <c r="O11" s="7" t="s">
        <v>71</v>
      </c>
      <c r="P11" s="16"/>
      <c r="Q11" s="16"/>
      <c r="R11" s="7"/>
      <c r="S11" s="4"/>
      <c r="T11" s="21"/>
    </row>
    <row r="12" spans="2:20" ht="45">
      <c r="B12" s="3">
        <v>5</v>
      </c>
      <c r="C12" s="4" t="s">
        <v>44</v>
      </c>
      <c r="D12" s="4"/>
      <c r="E12" s="4" t="s">
        <v>25</v>
      </c>
      <c r="F12" s="21">
        <v>41192</v>
      </c>
      <c r="G12" s="21">
        <v>41284</v>
      </c>
      <c r="H12" s="4" t="s">
        <v>15</v>
      </c>
      <c r="I12" s="4" t="s">
        <v>22</v>
      </c>
      <c r="J12" s="4" t="s">
        <v>51</v>
      </c>
      <c r="K12" s="4" t="s">
        <v>17</v>
      </c>
      <c r="L12" s="4"/>
      <c r="M12" s="4" t="s">
        <v>35</v>
      </c>
      <c r="N12" s="16">
        <v>3300</v>
      </c>
      <c r="O12" s="7" t="s">
        <v>74</v>
      </c>
      <c r="P12" s="16">
        <v>3300</v>
      </c>
      <c r="Q12" s="16">
        <v>3300</v>
      </c>
      <c r="R12" s="7" t="s">
        <v>74</v>
      </c>
      <c r="S12" s="4"/>
      <c r="T12" s="21"/>
    </row>
    <row r="13" spans="2:20" ht="30">
      <c r="B13" s="3">
        <v>6</v>
      </c>
      <c r="C13" s="4" t="s">
        <v>67</v>
      </c>
      <c r="D13" s="4"/>
      <c r="E13" s="15" t="s">
        <v>29</v>
      </c>
      <c r="F13" s="21">
        <v>41162</v>
      </c>
      <c r="G13" s="21">
        <v>41526</v>
      </c>
      <c r="H13" s="4" t="s">
        <v>15</v>
      </c>
      <c r="I13" s="4" t="s">
        <v>22</v>
      </c>
      <c r="J13" s="4" t="s">
        <v>52</v>
      </c>
      <c r="K13" s="4" t="s">
        <v>17</v>
      </c>
      <c r="L13" s="4"/>
      <c r="M13" s="4" t="s">
        <v>30</v>
      </c>
      <c r="N13" s="16">
        <v>2000</v>
      </c>
      <c r="O13" s="7" t="s">
        <v>75</v>
      </c>
      <c r="P13" s="16">
        <v>2000</v>
      </c>
      <c r="Q13" s="16">
        <v>2000</v>
      </c>
      <c r="R13" s="7" t="s">
        <v>75</v>
      </c>
      <c r="S13" s="35" t="s">
        <v>83</v>
      </c>
      <c r="T13" s="37">
        <v>41159</v>
      </c>
    </row>
    <row r="14" spans="2:20">
      <c r="B14" s="3"/>
      <c r="C14" s="4"/>
      <c r="D14" s="4"/>
      <c r="E14" s="15"/>
      <c r="F14" s="21"/>
      <c r="G14" s="21"/>
      <c r="H14" s="22"/>
      <c r="I14" s="4" t="s">
        <v>63</v>
      </c>
      <c r="J14" s="4" t="s">
        <v>52</v>
      </c>
      <c r="K14" s="22" t="s">
        <v>61</v>
      </c>
      <c r="L14" s="4"/>
      <c r="M14" s="4" t="s">
        <v>31</v>
      </c>
      <c r="N14" s="16">
        <v>1000</v>
      </c>
      <c r="O14" s="5" t="s">
        <v>76</v>
      </c>
      <c r="P14" s="16">
        <v>1000</v>
      </c>
      <c r="Q14" s="16">
        <v>1000</v>
      </c>
      <c r="R14" s="5" t="s">
        <v>76</v>
      </c>
      <c r="S14" s="36"/>
      <c r="T14" s="38"/>
    </row>
    <row r="15" spans="2:20" ht="45">
      <c r="B15" s="3">
        <v>7</v>
      </c>
      <c r="C15" s="4" t="s">
        <v>40</v>
      </c>
      <c r="D15" s="4"/>
      <c r="E15" s="15" t="s">
        <v>33</v>
      </c>
      <c r="F15" s="21">
        <v>41180</v>
      </c>
      <c r="G15" s="21">
        <v>41544</v>
      </c>
      <c r="H15" s="4" t="s">
        <v>15</v>
      </c>
      <c r="I15" s="4" t="s">
        <v>16</v>
      </c>
      <c r="J15" s="4" t="s">
        <v>51</v>
      </c>
      <c r="K15" s="4" t="s">
        <v>17</v>
      </c>
      <c r="L15" s="4"/>
      <c r="M15" s="4" t="s">
        <v>35</v>
      </c>
      <c r="N15" s="19">
        <v>42441</v>
      </c>
      <c r="O15" s="7" t="s">
        <v>77</v>
      </c>
      <c r="P15" s="19">
        <v>42441</v>
      </c>
      <c r="Q15" s="16">
        <f>P15*0.1605</f>
        <v>6811.7804999999998</v>
      </c>
      <c r="R15" s="7" t="s">
        <v>77</v>
      </c>
      <c r="S15" s="20" t="s">
        <v>84</v>
      </c>
      <c r="T15" s="21">
        <v>41191</v>
      </c>
    </row>
    <row r="16" spans="2:20" ht="45">
      <c r="B16" s="3">
        <v>8</v>
      </c>
      <c r="C16" s="4" t="s">
        <v>58</v>
      </c>
      <c r="D16" s="4"/>
      <c r="E16" s="15" t="s">
        <v>32</v>
      </c>
      <c r="F16" s="21">
        <v>41193</v>
      </c>
      <c r="G16" s="21">
        <v>42287</v>
      </c>
      <c r="H16" s="4" t="s">
        <v>15</v>
      </c>
      <c r="I16" s="4" t="s">
        <v>22</v>
      </c>
      <c r="J16" s="20" t="s">
        <v>57</v>
      </c>
      <c r="K16" s="4" t="s">
        <v>17</v>
      </c>
      <c r="L16" s="20" t="s">
        <v>59</v>
      </c>
      <c r="M16" s="4" t="s">
        <v>35</v>
      </c>
      <c r="N16" s="16">
        <v>1000</v>
      </c>
      <c r="O16" s="5" t="s">
        <v>78</v>
      </c>
      <c r="P16" s="16">
        <v>1000</v>
      </c>
      <c r="Q16" s="16">
        <v>1000</v>
      </c>
      <c r="R16" s="5" t="s">
        <v>78</v>
      </c>
      <c r="S16" s="4"/>
      <c r="T16" s="21">
        <v>41212</v>
      </c>
    </row>
    <row r="17" spans="2:20" ht="30">
      <c r="B17" s="3">
        <v>9</v>
      </c>
      <c r="C17" s="4" t="s">
        <v>41</v>
      </c>
      <c r="D17" s="4"/>
      <c r="E17" s="4" t="s">
        <v>34</v>
      </c>
      <c r="F17" s="21">
        <v>41211</v>
      </c>
      <c r="G17" s="21">
        <v>41575</v>
      </c>
      <c r="H17" s="4" t="s">
        <v>15</v>
      </c>
      <c r="I17" s="4" t="s">
        <v>64</v>
      </c>
      <c r="J17" s="20" t="s">
        <v>55</v>
      </c>
      <c r="K17" s="4" t="s">
        <v>17</v>
      </c>
      <c r="L17" s="4"/>
      <c r="M17" s="4" t="s">
        <v>36</v>
      </c>
      <c r="N17" s="16">
        <v>6250</v>
      </c>
      <c r="O17" s="7" t="s">
        <v>79</v>
      </c>
      <c r="P17" s="16">
        <v>6250</v>
      </c>
      <c r="Q17" s="16">
        <v>6250</v>
      </c>
      <c r="R17" s="7" t="s">
        <v>79</v>
      </c>
      <c r="S17" s="4"/>
      <c r="T17" s="21">
        <v>41218</v>
      </c>
    </row>
    <row r="18" spans="2:20">
      <c r="B18" s="3"/>
      <c r="C18" s="4"/>
      <c r="D18" s="4"/>
      <c r="E18" s="4"/>
      <c r="F18" s="21"/>
      <c r="G18" s="21"/>
      <c r="H18" s="4"/>
      <c r="I18" s="4" t="s">
        <v>63</v>
      </c>
      <c r="J18" s="4" t="s">
        <v>50</v>
      </c>
      <c r="K18" s="22" t="s">
        <v>62</v>
      </c>
      <c r="L18" s="4"/>
      <c r="M18" s="4" t="s">
        <v>37</v>
      </c>
      <c r="N18" s="16">
        <v>16380</v>
      </c>
      <c r="O18" s="5" t="s">
        <v>46</v>
      </c>
      <c r="P18" s="6"/>
      <c r="Q18" s="16"/>
      <c r="R18" s="5"/>
      <c r="S18" s="4"/>
      <c r="T18" s="21"/>
    </row>
    <row r="19" spans="2:20">
      <c r="B19" s="3"/>
      <c r="C19" s="4"/>
      <c r="D19" s="4"/>
      <c r="E19" s="4"/>
      <c r="F19" s="21"/>
      <c r="G19" s="21"/>
      <c r="H19" s="4"/>
      <c r="I19" s="4" t="s">
        <v>63</v>
      </c>
      <c r="J19" s="4" t="s">
        <v>56</v>
      </c>
      <c r="K19" s="22" t="s">
        <v>62</v>
      </c>
      <c r="L19" s="4"/>
      <c r="M19" s="4" t="s">
        <v>42</v>
      </c>
      <c r="N19" s="16">
        <v>40435</v>
      </c>
      <c r="O19" s="5" t="s">
        <v>47</v>
      </c>
      <c r="P19" s="6"/>
      <c r="Q19" s="16"/>
      <c r="R19" s="5"/>
      <c r="S19" s="4"/>
      <c r="T19" s="21"/>
    </row>
    <row r="20" spans="2:20" ht="45">
      <c r="B20" s="3">
        <v>10</v>
      </c>
      <c r="C20" s="4" t="s">
        <v>86</v>
      </c>
      <c r="D20" s="4"/>
      <c r="E20" s="30" t="s">
        <v>85</v>
      </c>
      <c r="F20" s="21">
        <v>41229</v>
      </c>
      <c r="G20" s="21">
        <v>41593</v>
      </c>
      <c r="H20" s="4" t="s">
        <v>15</v>
      </c>
      <c r="I20" s="4" t="s">
        <v>16</v>
      </c>
      <c r="J20" s="4"/>
      <c r="K20" s="22" t="s">
        <v>62</v>
      </c>
      <c r="L20" s="4"/>
      <c r="M20" s="4" t="s">
        <v>35</v>
      </c>
      <c r="N20" s="19">
        <v>34988</v>
      </c>
      <c r="O20" s="7" t="s">
        <v>87</v>
      </c>
      <c r="P20" s="19">
        <v>34988</v>
      </c>
      <c r="Q20" s="16">
        <f>P20*0.1605</f>
        <v>5615.5740000000005</v>
      </c>
      <c r="R20" s="7" t="s">
        <v>87</v>
      </c>
      <c r="S20" s="23" t="s">
        <v>88</v>
      </c>
      <c r="T20" s="21">
        <v>41229</v>
      </c>
    </row>
    <row r="21" spans="2:20">
      <c r="B21" s="3"/>
      <c r="C21" s="4"/>
      <c r="D21" s="4"/>
      <c r="E21" s="30" t="s">
        <v>98</v>
      </c>
      <c r="F21" s="21"/>
      <c r="G21" s="21"/>
      <c r="H21" s="4"/>
      <c r="I21" s="4"/>
      <c r="J21" s="4"/>
      <c r="K21" s="22"/>
      <c r="L21" s="4"/>
      <c r="M21" s="4"/>
      <c r="N21" s="19"/>
      <c r="O21" s="7"/>
      <c r="P21" s="19"/>
      <c r="Q21" s="16"/>
      <c r="R21" s="7"/>
      <c r="S21" s="23"/>
      <c r="T21" s="21"/>
    </row>
    <row r="22" spans="2:20">
      <c r="B22" s="3"/>
      <c r="C22" s="4"/>
      <c r="D22" s="4"/>
      <c r="E22" s="4" t="s">
        <v>14</v>
      </c>
      <c r="F22" s="21"/>
      <c r="G22" s="21"/>
      <c r="H22" s="4"/>
      <c r="I22" s="4"/>
      <c r="J22" s="4"/>
      <c r="K22" s="22"/>
      <c r="L22" s="4"/>
      <c r="M22" s="4"/>
      <c r="N22" s="19"/>
      <c r="O22" s="7"/>
      <c r="P22" s="19"/>
      <c r="Q22" s="16"/>
      <c r="R22" s="7"/>
      <c r="S22" s="23"/>
      <c r="T22" s="21"/>
    </row>
    <row r="23" spans="2:20">
      <c r="B23" s="3"/>
      <c r="C23" s="4"/>
      <c r="D23" s="4"/>
      <c r="E23" s="30" t="s">
        <v>90</v>
      </c>
      <c r="F23" s="21"/>
      <c r="G23" s="21"/>
      <c r="H23" s="4"/>
      <c r="I23" s="4"/>
      <c r="J23" s="4"/>
      <c r="K23" s="22"/>
      <c r="L23" s="4"/>
      <c r="M23" s="4"/>
      <c r="N23" s="19"/>
      <c r="O23" s="7"/>
      <c r="P23" s="19"/>
      <c r="Q23" s="16"/>
      <c r="R23" s="7"/>
      <c r="S23" s="23"/>
      <c r="T23" s="21"/>
    </row>
    <row r="24" spans="2:20">
      <c r="B24" s="3"/>
      <c r="C24" s="4"/>
      <c r="D24" s="4"/>
      <c r="E24" s="30"/>
      <c r="F24" s="21"/>
      <c r="G24" s="21"/>
      <c r="H24" s="4"/>
      <c r="I24" s="4"/>
      <c r="J24" s="4"/>
      <c r="K24" s="22"/>
      <c r="L24" s="4"/>
      <c r="M24" s="4"/>
      <c r="N24" s="19"/>
      <c r="O24" s="7"/>
      <c r="P24" s="19"/>
      <c r="Q24" s="16"/>
      <c r="R24" s="7"/>
      <c r="S24" s="23"/>
      <c r="T24" s="21"/>
    </row>
    <row r="25" spans="2:20">
      <c r="B25" s="3"/>
      <c r="C25" s="4"/>
      <c r="D25" s="4"/>
      <c r="E25" s="30" t="s">
        <v>91</v>
      </c>
      <c r="F25" s="21"/>
      <c r="G25" s="21"/>
      <c r="H25" s="4"/>
      <c r="I25" s="4"/>
      <c r="J25" s="4"/>
      <c r="K25" s="22"/>
      <c r="L25" s="4"/>
      <c r="M25" s="4"/>
      <c r="N25" s="19"/>
      <c r="O25" s="7"/>
      <c r="P25" s="19"/>
      <c r="Q25" s="16"/>
      <c r="R25" s="7"/>
      <c r="S25" s="23"/>
      <c r="T25" s="21"/>
    </row>
    <row r="26" spans="2:20">
      <c r="B26" s="3"/>
      <c r="C26" s="4"/>
      <c r="D26" s="4"/>
      <c r="E26" s="30" t="s">
        <v>92</v>
      </c>
      <c r="F26" s="21"/>
      <c r="G26" s="21"/>
      <c r="H26" s="4"/>
      <c r="I26" s="4"/>
      <c r="J26" s="4"/>
      <c r="K26" s="22"/>
      <c r="L26" s="4"/>
      <c r="M26" s="4"/>
      <c r="N26" s="19"/>
      <c r="O26" s="7"/>
      <c r="P26" s="19"/>
      <c r="Q26" s="16"/>
      <c r="R26" s="7"/>
      <c r="S26" s="23"/>
      <c r="T26" s="21"/>
    </row>
    <row r="27" spans="2:20">
      <c r="B27" s="3"/>
      <c r="C27" s="4"/>
      <c r="D27" s="4"/>
      <c r="E27" s="30" t="s">
        <v>93</v>
      </c>
      <c r="F27" s="21"/>
      <c r="G27" s="21"/>
      <c r="H27" s="4"/>
      <c r="I27" s="4"/>
      <c r="J27" s="4"/>
      <c r="K27" s="22"/>
      <c r="L27" s="4"/>
      <c r="M27" s="4"/>
      <c r="N27" s="19"/>
      <c r="O27" s="7"/>
      <c r="P27" s="19"/>
      <c r="Q27" s="16"/>
      <c r="R27" s="7"/>
      <c r="S27" s="23"/>
      <c r="T27" s="21"/>
    </row>
    <row r="28" spans="2:20">
      <c r="B28" s="3"/>
      <c r="C28" s="4"/>
      <c r="D28" s="22" t="s">
        <v>97</v>
      </c>
      <c r="E28" s="30" t="s">
        <v>94</v>
      </c>
      <c r="F28" s="21"/>
      <c r="G28" s="21"/>
      <c r="H28" s="4"/>
      <c r="I28" s="4"/>
      <c r="J28" s="4"/>
      <c r="K28" s="22"/>
      <c r="L28" s="4"/>
      <c r="M28" s="4"/>
      <c r="N28" s="19"/>
      <c r="O28" s="7"/>
      <c r="P28" s="19"/>
      <c r="Q28" s="16"/>
      <c r="R28" s="7"/>
      <c r="S28" s="23"/>
      <c r="T28" s="21"/>
    </row>
    <row r="29" spans="2:20">
      <c r="B29" s="3"/>
      <c r="C29" s="4"/>
      <c r="D29" s="4"/>
      <c r="E29" s="30"/>
      <c r="F29" s="21"/>
      <c r="G29" s="21"/>
      <c r="H29" s="4"/>
      <c r="I29" s="4"/>
      <c r="J29" s="4"/>
      <c r="K29" s="22"/>
      <c r="L29" s="4"/>
      <c r="M29" s="4"/>
      <c r="N29" s="19"/>
      <c r="O29" s="7"/>
      <c r="P29" s="19"/>
      <c r="Q29" s="16"/>
      <c r="R29" s="7"/>
      <c r="S29" s="23"/>
      <c r="T29" s="21"/>
    </row>
    <row r="30" spans="2:20">
      <c r="B30" s="3"/>
      <c r="C30" s="4"/>
      <c r="D30" s="22" t="s">
        <v>96</v>
      </c>
      <c r="E30" s="30" t="s">
        <v>95</v>
      </c>
      <c r="F30" s="21"/>
      <c r="G30" s="21"/>
      <c r="H30" s="4"/>
      <c r="I30" s="4"/>
      <c r="J30" s="4"/>
      <c r="K30" s="22"/>
      <c r="L30" s="4"/>
      <c r="M30" s="4"/>
      <c r="N30" s="19"/>
      <c r="O30" s="7"/>
      <c r="P30" s="19"/>
      <c r="Q30" s="16"/>
      <c r="R30" s="7"/>
      <c r="S30" s="23"/>
      <c r="T30" s="21"/>
    </row>
    <row r="31" spans="2:20">
      <c r="B31" s="3"/>
      <c r="C31" s="4"/>
      <c r="D31" s="4"/>
      <c r="E31" s="30"/>
      <c r="F31" s="21"/>
      <c r="G31" s="21"/>
      <c r="H31" s="4"/>
      <c r="I31" s="4"/>
      <c r="J31" s="4"/>
      <c r="K31" s="22"/>
      <c r="L31" s="4"/>
      <c r="M31" s="4"/>
      <c r="N31" s="19"/>
      <c r="O31" s="7"/>
      <c r="P31" s="19"/>
      <c r="Q31" s="16"/>
      <c r="R31" s="7"/>
      <c r="S31" s="23"/>
      <c r="T31" s="21"/>
    </row>
    <row r="32" spans="2:20" ht="45">
      <c r="B32" s="3">
        <v>10</v>
      </c>
      <c r="C32" s="4" t="s">
        <v>86</v>
      </c>
      <c r="D32" s="4"/>
      <c r="E32" s="30"/>
      <c r="F32" s="21">
        <v>41229</v>
      </c>
      <c r="G32" s="21">
        <v>41593</v>
      </c>
      <c r="H32" s="4" t="s">
        <v>15</v>
      </c>
      <c r="I32" s="4" t="s">
        <v>16</v>
      </c>
      <c r="J32" s="4"/>
      <c r="K32" s="22" t="s">
        <v>62</v>
      </c>
      <c r="L32" s="4"/>
      <c r="M32" s="4" t="s">
        <v>35</v>
      </c>
      <c r="N32" s="19">
        <v>34988</v>
      </c>
      <c r="O32" s="7" t="s">
        <v>87</v>
      </c>
      <c r="P32" s="19">
        <v>34988</v>
      </c>
      <c r="Q32" s="16">
        <f>P32*0.1605</f>
        <v>5615.5740000000005</v>
      </c>
      <c r="R32" s="7" t="s">
        <v>87</v>
      </c>
      <c r="S32" s="23" t="s">
        <v>88</v>
      </c>
      <c r="T32" s="21">
        <v>41229</v>
      </c>
    </row>
    <row r="33" spans="2:20">
      <c r="B33" s="24"/>
      <c r="C33" s="25"/>
      <c r="D33" s="25"/>
      <c r="E33" s="25"/>
      <c r="F33" s="26"/>
      <c r="G33" s="26"/>
      <c r="H33" s="25"/>
      <c r="I33" s="25"/>
      <c r="J33" s="25"/>
      <c r="K33" s="25"/>
      <c r="L33" s="25"/>
      <c r="M33" s="25"/>
      <c r="N33" s="27"/>
      <c r="O33" s="28"/>
      <c r="P33" s="29" t="s">
        <v>81</v>
      </c>
      <c r="Q33" s="27">
        <f>SUM(Q4:Q32)</f>
        <v>43882.698500000006</v>
      </c>
      <c r="R33" s="25"/>
      <c r="S33" s="25"/>
      <c r="T33" s="25"/>
    </row>
  </sheetData>
  <mergeCells count="5">
    <mergeCell ref="M2:T2"/>
    <mergeCell ref="C2:L2"/>
    <mergeCell ref="B2:B3"/>
    <mergeCell ref="S13:S14"/>
    <mergeCell ref="T13:T1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T32"/>
  <sheetViews>
    <sheetView tabSelected="1" workbookViewId="0">
      <pane xSplit="5" ySplit="3" topLeftCell="F14" activePane="bottomRight" state="frozen"/>
      <selection pane="topRight" activeCell="E1" sqref="E1"/>
      <selection pane="bottomLeft" activeCell="A4" sqref="A4"/>
      <selection pane="bottomRight" activeCell="F20" sqref="F20"/>
    </sheetView>
  </sheetViews>
  <sheetFormatPr defaultRowHeight="15"/>
  <cols>
    <col min="1" max="1" width="2.25" style="1" customWidth="1"/>
    <col min="2" max="2" width="6.5" style="8" customWidth="1"/>
    <col min="3" max="3" width="15" style="9" bestFit="1" customWidth="1"/>
    <col min="4" max="4" width="15" style="9" customWidth="1"/>
    <col min="5" max="5" width="23.25" style="10" customWidth="1"/>
    <col min="6" max="6" width="14.625" style="9" bestFit="1" customWidth="1"/>
    <col min="7" max="7" width="13.625" style="9" customWidth="1"/>
    <col min="8" max="8" width="15.125" style="9" customWidth="1"/>
    <col min="9" max="9" width="15.125" style="10" customWidth="1"/>
    <col min="10" max="10" width="27.625" style="9" customWidth="1"/>
    <col min="11" max="11" width="15.125" style="12" customWidth="1"/>
    <col min="12" max="12" width="15.125" style="9" customWidth="1"/>
    <col min="13" max="13" width="15.125" style="9" bestFit="1" customWidth="1"/>
    <col min="14" max="14" width="10.875" style="13" customWidth="1"/>
    <col min="15" max="15" width="21.5" style="11" bestFit="1" customWidth="1"/>
    <col min="16" max="16" width="12.125" style="14" customWidth="1"/>
    <col min="17" max="17" width="16.625" style="14" bestFit="1" customWidth="1"/>
    <col min="18" max="18" width="21.5" style="9" bestFit="1" customWidth="1"/>
    <col min="19" max="20" width="17.25" style="9" bestFit="1" customWidth="1"/>
    <col min="21" max="16384" width="9" style="1"/>
  </cols>
  <sheetData>
    <row r="2" spans="2:20">
      <c r="B2" s="33" t="s">
        <v>0</v>
      </c>
      <c r="C2" s="32" t="s">
        <v>1</v>
      </c>
      <c r="D2" s="32"/>
      <c r="E2" s="32"/>
      <c r="F2" s="32"/>
      <c r="G2" s="32"/>
      <c r="H2" s="32"/>
      <c r="I2" s="32"/>
      <c r="J2" s="32"/>
      <c r="K2" s="32"/>
      <c r="L2" s="32"/>
      <c r="M2" s="31" t="s">
        <v>2</v>
      </c>
      <c r="N2" s="31"/>
      <c r="O2" s="31"/>
      <c r="P2" s="31"/>
      <c r="Q2" s="31"/>
      <c r="R2" s="31"/>
      <c r="S2" s="31"/>
      <c r="T2" s="31"/>
    </row>
    <row r="3" spans="2:20">
      <c r="B3" s="34"/>
      <c r="C3" s="2" t="s">
        <v>3</v>
      </c>
      <c r="D3" s="18" t="s">
        <v>89</v>
      </c>
      <c r="E3" s="2" t="s">
        <v>4</v>
      </c>
      <c r="F3" s="2" t="s">
        <v>5</v>
      </c>
      <c r="G3" s="18" t="s">
        <v>49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18" t="s">
        <v>39</v>
      </c>
      <c r="O3" s="2" t="s">
        <v>12</v>
      </c>
      <c r="P3" s="2" t="s">
        <v>13</v>
      </c>
      <c r="Q3" s="18" t="s">
        <v>80</v>
      </c>
      <c r="R3" s="2" t="s">
        <v>12</v>
      </c>
      <c r="S3" s="2" t="s">
        <v>10</v>
      </c>
      <c r="T3" s="18" t="s">
        <v>82</v>
      </c>
    </row>
    <row r="4" spans="2:20" ht="30">
      <c r="B4" s="3">
        <v>1</v>
      </c>
      <c r="C4" s="4"/>
      <c r="D4" s="4"/>
      <c r="E4" s="4" t="s">
        <v>14</v>
      </c>
      <c r="F4" s="21"/>
      <c r="G4" s="21"/>
      <c r="H4" s="4" t="s">
        <v>15</v>
      </c>
      <c r="I4" s="4" t="s">
        <v>16</v>
      </c>
      <c r="J4" s="4" t="s">
        <v>51</v>
      </c>
      <c r="K4" s="22" t="s">
        <v>60</v>
      </c>
      <c r="L4" s="4"/>
      <c r="M4" s="4" t="s">
        <v>18</v>
      </c>
      <c r="N4" s="16">
        <v>6600</v>
      </c>
      <c r="O4" s="7" t="s">
        <v>71</v>
      </c>
      <c r="P4" s="16">
        <v>6600</v>
      </c>
      <c r="Q4" s="16">
        <v>6600</v>
      </c>
      <c r="R4" s="7" t="s">
        <v>71</v>
      </c>
      <c r="S4" s="4"/>
      <c r="T4" s="21"/>
    </row>
    <row r="5" spans="2:20" ht="30">
      <c r="B5" s="3"/>
      <c r="C5" s="4"/>
      <c r="D5" s="4"/>
      <c r="E5" s="4"/>
      <c r="F5" s="21"/>
      <c r="G5" s="21"/>
      <c r="H5" s="4"/>
      <c r="I5" s="4" t="s">
        <v>16</v>
      </c>
      <c r="J5" s="4" t="s">
        <v>51</v>
      </c>
      <c r="K5" s="22" t="s">
        <v>61</v>
      </c>
      <c r="L5" s="4"/>
      <c r="M5" s="4" t="s">
        <v>19</v>
      </c>
      <c r="N5" s="17">
        <v>6600</v>
      </c>
      <c r="O5" s="7" t="s">
        <v>72</v>
      </c>
      <c r="P5" s="6"/>
      <c r="Q5" s="16"/>
      <c r="R5" s="7"/>
      <c r="S5" s="4"/>
      <c r="T5" s="21"/>
    </row>
    <row r="6" spans="2:20" ht="30">
      <c r="B6" s="3"/>
      <c r="C6" s="4"/>
      <c r="D6" s="4"/>
      <c r="E6" s="4"/>
      <c r="F6" s="21"/>
      <c r="G6" s="21"/>
      <c r="H6" s="4"/>
      <c r="I6" s="4" t="s">
        <v>16</v>
      </c>
      <c r="J6" s="4" t="s">
        <v>51</v>
      </c>
      <c r="K6" s="22" t="s">
        <v>61</v>
      </c>
      <c r="L6" s="4"/>
      <c r="M6" s="4" t="s">
        <v>20</v>
      </c>
      <c r="N6" s="16">
        <v>27500</v>
      </c>
      <c r="O6" s="7" t="s">
        <v>70</v>
      </c>
      <c r="P6" s="6"/>
      <c r="Q6" s="16"/>
      <c r="R6" s="7"/>
      <c r="S6" s="4"/>
      <c r="T6" s="21"/>
    </row>
    <row r="7" spans="2:20">
      <c r="B7" s="3">
        <v>2</v>
      </c>
      <c r="C7" s="4" t="s">
        <v>43</v>
      </c>
      <c r="D7" s="4"/>
      <c r="E7" s="4" t="s">
        <v>21</v>
      </c>
      <c r="F7" s="21">
        <v>41102</v>
      </c>
      <c r="G7" s="21">
        <v>41163</v>
      </c>
      <c r="H7" s="4" t="s">
        <v>15</v>
      </c>
      <c r="I7" s="4" t="s">
        <v>22</v>
      </c>
      <c r="J7" s="4" t="s">
        <v>53</v>
      </c>
      <c r="K7" s="22" t="s">
        <v>60</v>
      </c>
      <c r="L7" s="4"/>
      <c r="M7" s="4" t="s">
        <v>23</v>
      </c>
      <c r="N7" s="17">
        <v>700</v>
      </c>
      <c r="O7" s="5" t="s">
        <v>45</v>
      </c>
      <c r="P7" s="17">
        <v>700</v>
      </c>
      <c r="Q7" s="16">
        <f>P7*1.2711</f>
        <v>889.77</v>
      </c>
      <c r="R7" s="5" t="s">
        <v>45</v>
      </c>
      <c r="S7" s="4"/>
      <c r="T7" s="21"/>
    </row>
    <row r="8" spans="2:20">
      <c r="B8" s="3"/>
      <c r="C8" s="4"/>
      <c r="D8" s="4"/>
      <c r="E8" s="4"/>
      <c r="F8" s="21"/>
      <c r="G8" s="21"/>
      <c r="H8" s="4"/>
      <c r="I8" s="4" t="s">
        <v>22</v>
      </c>
      <c r="J8" s="4" t="s">
        <v>54</v>
      </c>
      <c r="K8" s="22" t="s">
        <v>61</v>
      </c>
      <c r="L8" s="4"/>
      <c r="M8" s="4" t="s">
        <v>24</v>
      </c>
      <c r="N8" s="16">
        <v>0</v>
      </c>
      <c r="O8" s="5"/>
      <c r="P8" s="6"/>
      <c r="Q8" s="16"/>
      <c r="R8" s="5"/>
      <c r="S8" s="4"/>
      <c r="T8" s="21"/>
    </row>
    <row r="9" spans="2:20" ht="27">
      <c r="B9" s="3">
        <v>3</v>
      </c>
      <c r="C9" s="4" t="s">
        <v>48</v>
      </c>
      <c r="D9" s="4"/>
      <c r="E9" s="15" t="s">
        <v>26</v>
      </c>
      <c r="F9" s="21">
        <v>41122</v>
      </c>
      <c r="G9" s="21">
        <v>41182</v>
      </c>
      <c r="H9" s="4" t="s">
        <v>15</v>
      </c>
      <c r="I9" s="4" t="s">
        <v>22</v>
      </c>
      <c r="J9" s="4" t="s">
        <v>50</v>
      </c>
      <c r="K9" s="4" t="s">
        <v>27</v>
      </c>
      <c r="L9" s="23" t="s">
        <v>69</v>
      </c>
      <c r="M9" s="4" t="s">
        <v>35</v>
      </c>
      <c r="N9" s="16">
        <v>500</v>
      </c>
      <c r="O9" s="5" t="s">
        <v>38</v>
      </c>
      <c r="P9" s="16">
        <v>500</v>
      </c>
      <c r="Q9" s="16">
        <v>500</v>
      </c>
      <c r="R9" s="5" t="s">
        <v>38</v>
      </c>
      <c r="S9" s="4"/>
      <c r="T9" s="21">
        <v>41124</v>
      </c>
    </row>
    <row r="10" spans="2:20" ht="45">
      <c r="B10" s="3">
        <v>4</v>
      </c>
      <c r="C10" s="4" t="s">
        <v>65</v>
      </c>
      <c r="D10" s="4"/>
      <c r="E10" s="15" t="s">
        <v>28</v>
      </c>
      <c r="F10" s="21">
        <v>41134</v>
      </c>
      <c r="G10" s="21">
        <v>41223</v>
      </c>
      <c r="H10" s="4" t="s">
        <v>15</v>
      </c>
      <c r="I10" s="4" t="s">
        <v>16</v>
      </c>
      <c r="J10" s="4" t="s">
        <v>51</v>
      </c>
      <c r="K10" s="4" t="s">
        <v>17</v>
      </c>
      <c r="L10" s="23" t="s">
        <v>68</v>
      </c>
      <c r="M10" s="4" t="s">
        <v>35</v>
      </c>
      <c r="N10" s="16">
        <v>4300</v>
      </c>
      <c r="O10" s="7" t="s">
        <v>73</v>
      </c>
      <c r="P10" s="16">
        <v>4300</v>
      </c>
      <c r="Q10" s="16">
        <v>4300</v>
      </c>
      <c r="R10" s="7" t="s">
        <v>73</v>
      </c>
      <c r="S10" s="4"/>
      <c r="T10" s="21">
        <v>41124</v>
      </c>
    </row>
    <row r="11" spans="2:20" ht="30">
      <c r="B11" s="3"/>
      <c r="C11" s="4"/>
      <c r="D11" s="4"/>
      <c r="E11" s="15"/>
      <c r="F11" s="21"/>
      <c r="G11" s="21"/>
      <c r="H11" s="4"/>
      <c r="I11" s="4" t="s">
        <v>16</v>
      </c>
      <c r="J11" s="4" t="s">
        <v>51</v>
      </c>
      <c r="K11" s="22" t="s">
        <v>62</v>
      </c>
      <c r="L11" s="4"/>
      <c r="M11" s="22" t="s">
        <v>66</v>
      </c>
      <c r="N11" s="16">
        <v>6600</v>
      </c>
      <c r="O11" s="7" t="s">
        <v>71</v>
      </c>
      <c r="P11" s="16"/>
      <c r="Q11" s="16"/>
      <c r="R11" s="7"/>
      <c r="S11" s="4"/>
      <c r="T11" s="21"/>
    </row>
    <row r="12" spans="2:20" ht="45">
      <c r="B12" s="3">
        <v>5</v>
      </c>
      <c r="C12" s="4" t="s">
        <v>44</v>
      </c>
      <c r="D12" s="4"/>
      <c r="E12" s="4" t="s">
        <v>25</v>
      </c>
      <c r="F12" s="21">
        <v>41192</v>
      </c>
      <c r="G12" s="21">
        <v>41284</v>
      </c>
      <c r="H12" s="4" t="s">
        <v>15</v>
      </c>
      <c r="I12" s="4" t="s">
        <v>22</v>
      </c>
      <c r="J12" s="4" t="s">
        <v>51</v>
      </c>
      <c r="K12" s="4" t="s">
        <v>17</v>
      </c>
      <c r="L12" s="4"/>
      <c r="M12" s="4" t="s">
        <v>35</v>
      </c>
      <c r="N12" s="16">
        <v>3300</v>
      </c>
      <c r="O12" s="7" t="s">
        <v>74</v>
      </c>
      <c r="P12" s="16">
        <v>3300</v>
      </c>
      <c r="Q12" s="16">
        <v>3300</v>
      </c>
      <c r="R12" s="7" t="s">
        <v>74</v>
      </c>
      <c r="S12" s="4"/>
      <c r="T12" s="21"/>
    </row>
    <row r="13" spans="2:20" ht="30">
      <c r="B13" s="3">
        <v>6</v>
      </c>
      <c r="C13" s="4" t="s">
        <v>67</v>
      </c>
      <c r="D13" s="4"/>
      <c r="E13" s="15" t="s">
        <v>29</v>
      </c>
      <c r="F13" s="21">
        <v>41162</v>
      </c>
      <c r="G13" s="21">
        <v>41526</v>
      </c>
      <c r="H13" s="4" t="s">
        <v>15</v>
      </c>
      <c r="I13" s="4" t="s">
        <v>22</v>
      </c>
      <c r="J13" s="4" t="s">
        <v>52</v>
      </c>
      <c r="K13" s="4" t="s">
        <v>17</v>
      </c>
      <c r="L13" s="4"/>
      <c r="M13" s="4" t="s">
        <v>30</v>
      </c>
      <c r="N13" s="16">
        <v>2000</v>
      </c>
      <c r="O13" s="7" t="s">
        <v>75</v>
      </c>
      <c r="P13" s="16">
        <v>2000</v>
      </c>
      <c r="Q13" s="16">
        <v>2000</v>
      </c>
      <c r="R13" s="7" t="s">
        <v>75</v>
      </c>
      <c r="S13" s="35" t="s">
        <v>83</v>
      </c>
      <c r="T13" s="37">
        <v>41159</v>
      </c>
    </row>
    <row r="14" spans="2:20">
      <c r="B14" s="3"/>
      <c r="C14" s="4"/>
      <c r="D14" s="4"/>
      <c r="E14" s="15"/>
      <c r="F14" s="21"/>
      <c r="G14" s="21"/>
      <c r="H14" s="22"/>
      <c r="I14" s="4" t="s">
        <v>22</v>
      </c>
      <c r="J14" s="4" t="s">
        <v>52</v>
      </c>
      <c r="K14" s="22" t="s">
        <v>61</v>
      </c>
      <c r="L14" s="4"/>
      <c r="M14" s="4" t="s">
        <v>31</v>
      </c>
      <c r="N14" s="16">
        <v>1000</v>
      </c>
      <c r="O14" s="5" t="s">
        <v>76</v>
      </c>
      <c r="P14" s="16">
        <v>1000</v>
      </c>
      <c r="Q14" s="16">
        <v>1000</v>
      </c>
      <c r="R14" s="5" t="s">
        <v>76</v>
      </c>
      <c r="S14" s="36"/>
      <c r="T14" s="38"/>
    </row>
    <row r="15" spans="2:20" ht="45">
      <c r="B15" s="3">
        <v>7</v>
      </c>
      <c r="C15" s="4" t="s">
        <v>40</v>
      </c>
      <c r="D15" s="4"/>
      <c r="E15" s="15" t="s">
        <v>33</v>
      </c>
      <c r="F15" s="21">
        <v>41180</v>
      </c>
      <c r="G15" s="21">
        <v>41544</v>
      </c>
      <c r="H15" s="4" t="s">
        <v>15</v>
      </c>
      <c r="I15" s="4" t="s">
        <v>16</v>
      </c>
      <c r="J15" s="4" t="s">
        <v>51</v>
      </c>
      <c r="K15" s="4" t="s">
        <v>17</v>
      </c>
      <c r="L15" s="4"/>
      <c r="M15" s="4" t="s">
        <v>35</v>
      </c>
      <c r="N15" s="19">
        <v>42441</v>
      </c>
      <c r="O15" s="7" t="s">
        <v>77</v>
      </c>
      <c r="P15" s="19">
        <v>42441</v>
      </c>
      <c r="Q15" s="16">
        <f>P15*0.1605</f>
        <v>6811.7804999999998</v>
      </c>
      <c r="R15" s="7" t="s">
        <v>77</v>
      </c>
      <c r="S15" s="20" t="s">
        <v>84</v>
      </c>
      <c r="T15" s="21">
        <v>41191</v>
      </c>
    </row>
    <row r="16" spans="2:20" ht="45">
      <c r="B16" s="3">
        <v>8</v>
      </c>
      <c r="C16" s="4" t="s">
        <v>58</v>
      </c>
      <c r="D16" s="4"/>
      <c r="E16" s="15" t="s">
        <v>32</v>
      </c>
      <c r="F16" s="21">
        <v>41193</v>
      </c>
      <c r="G16" s="21">
        <v>42287</v>
      </c>
      <c r="H16" s="4" t="s">
        <v>15</v>
      </c>
      <c r="I16" s="4" t="s">
        <v>22</v>
      </c>
      <c r="J16" s="20" t="s">
        <v>57</v>
      </c>
      <c r="K16" s="4" t="s">
        <v>17</v>
      </c>
      <c r="L16" s="20" t="s">
        <v>59</v>
      </c>
      <c r="M16" s="4" t="s">
        <v>35</v>
      </c>
      <c r="N16" s="16">
        <v>1000</v>
      </c>
      <c r="O16" s="5" t="s">
        <v>78</v>
      </c>
      <c r="P16" s="16">
        <v>1000</v>
      </c>
      <c r="Q16" s="16">
        <v>1000</v>
      </c>
      <c r="R16" s="5" t="s">
        <v>78</v>
      </c>
      <c r="S16" s="4"/>
      <c r="T16" s="21">
        <v>41212</v>
      </c>
    </row>
    <row r="17" spans="2:20" ht="30">
      <c r="B17" s="3">
        <v>9</v>
      </c>
      <c r="C17" s="4" t="s">
        <v>41</v>
      </c>
      <c r="D17" s="4"/>
      <c r="E17" s="4" t="s">
        <v>34</v>
      </c>
      <c r="F17" s="21">
        <v>41211</v>
      </c>
      <c r="G17" s="21">
        <v>41575</v>
      </c>
      <c r="H17" s="4" t="s">
        <v>15</v>
      </c>
      <c r="I17" s="4" t="s">
        <v>64</v>
      </c>
      <c r="J17" s="20" t="s">
        <v>55</v>
      </c>
      <c r="K17" s="4" t="s">
        <v>17</v>
      </c>
      <c r="L17" s="4"/>
      <c r="M17" s="4" t="s">
        <v>36</v>
      </c>
      <c r="N17" s="16">
        <v>6250</v>
      </c>
      <c r="O17" s="7" t="s">
        <v>79</v>
      </c>
      <c r="P17" s="16">
        <v>6250</v>
      </c>
      <c r="Q17" s="16">
        <v>6250</v>
      </c>
      <c r="R17" s="7" t="s">
        <v>79</v>
      </c>
      <c r="S17" s="4"/>
      <c r="T17" s="21">
        <v>41218</v>
      </c>
    </row>
    <row r="18" spans="2:20">
      <c r="B18" s="3"/>
      <c r="C18" s="4"/>
      <c r="D18" s="4"/>
      <c r="E18" s="4"/>
      <c r="F18" s="21"/>
      <c r="G18" s="21"/>
      <c r="H18" s="4"/>
      <c r="I18" s="4" t="s">
        <v>22</v>
      </c>
      <c r="J18" s="4" t="s">
        <v>50</v>
      </c>
      <c r="K18" s="22" t="s">
        <v>62</v>
      </c>
      <c r="L18" s="4"/>
      <c r="M18" s="4" t="s">
        <v>37</v>
      </c>
      <c r="N18" s="16">
        <v>16380</v>
      </c>
      <c r="O18" s="5" t="s">
        <v>46</v>
      </c>
      <c r="P18" s="6"/>
      <c r="Q18" s="16"/>
      <c r="R18" s="5"/>
      <c r="S18" s="4"/>
      <c r="T18" s="21"/>
    </row>
    <row r="19" spans="2:20">
      <c r="B19" s="3"/>
      <c r="C19" s="4"/>
      <c r="D19" s="4"/>
      <c r="E19" s="4"/>
      <c r="F19" s="21"/>
      <c r="G19" s="21"/>
      <c r="H19" s="4"/>
      <c r="I19" s="4" t="s">
        <v>22</v>
      </c>
      <c r="J19" s="4" t="s">
        <v>56</v>
      </c>
      <c r="K19" s="22" t="s">
        <v>62</v>
      </c>
      <c r="L19" s="4"/>
      <c r="M19" s="4" t="s">
        <v>42</v>
      </c>
      <c r="N19" s="16">
        <v>40435</v>
      </c>
      <c r="O19" s="5" t="s">
        <v>47</v>
      </c>
      <c r="P19" s="6"/>
      <c r="Q19" s="16"/>
      <c r="R19" s="5"/>
      <c r="S19" s="4"/>
      <c r="T19" s="21"/>
    </row>
    <row r="20" spans="2:20" ht="45">
      <c r="B20" s="3">
        <v>10</v>
      </c>
      <c r="C20" s="4" t="s">
        <v>86</v>
      </c>
      <c r="D20" s="4"/>
      <c r="E20" s="30" t="s">
        <v>85</v>
      </c>
      <c r="F20" s="21">
        <v>41229</v>
      </c>
      <c r="G20" s="21">
        <v>41593</v>
      </c>
      <c r="H20" s="4" t="s">
        <v>15</v>
      </c>
      <c r="I20" s="4" t="s">
        <v>16</v>
      </c>
      <c r="J20" s="4"/>
      <c r="K20" s="22" t="s">
        <v>62</v>
      </c>
      <c r="L20" s="4"/>
      <c r="M20" s="4" t="s">
        <v>35</v>
      </c>
      <c r="N20" s="19">
        <v>34988</v>
      </c>
      <c r="O20" s="7" t="s">
        <v>87</v>
      </c>
      <c r="P20" s="19">
        <v>34988</v>
      </c>
      <c r="Q20" s="16">
        <f>P20*0.1605</f>
        <v>5615.5740000000005</v>
      </c>
      <c r="R20" s="7" t="s">
        <v>87</v>
      </c>
      <c r="S20" s="23" t="s">
        <v>88</v>
      </c>
      <c r="T20" s="21">
        <v>41229</v>
      </c>
    </row>
    <row r="21" spans="2:20">
      <c r="B21" s="2" t="s">
        <v>107</v>
      </c>
      <c r="C21" s="2" t="s">
        <v>3</v>
      </c>
      <c r="D21" s="18" t="s">
        <v>89</v>
      </c>
      <c r="E21" s="2" t="s">
        <v>4</v>
      </c>
      <c r="F21" s="2" t="s">
        <v>5</v>
      </c>
      <c r="G21" s="21"/>
      <c r="H21" s="4"/>
      <c r="I21" s="4"/>
      <c r="J21" s="4"/>
      <c r="K21" s="22"/>
      <c r="L21" s="4"/>
      <c r="M21" s="4"/>
      <c r="N21" s="19"/>
      <c r="O21" s="7"/>
      <c r="P21" s="19"/>
      <c r="Q21" s="16"/>
      <c r="R21" s="7"/>
      <c r="S21" s="23"/>
      <c r="T21" s="21"/>
    </row>
    <row r="22" spans="2:20">
      <c r="B22" s="3">
        <v>1</v>
      </c>
      <c r="C22" s="4" t="s">
        <v>44</v>
      </c>
      <c r="D22" s="22" t="s">
        <v>106</v>
      </c>
      <c r="E22" s="30" t="s">
        <v>98</v>
      </c>
      <c r="F22" s="21">
        <v>41192</v>
      </c>
      <c r="G22" s="21"/>
      <c r="H22" s="4"/>
      <c r="I22" s="4"/>
      <c r="J22" s="4"/>
      <c r="K22" s="22"/>
      <c r="L22" s="4"/>
      <c r="M22" s="4"/>
      <c r="N22" s="19"/>
      <c r="O22" s="7"/>
      <c r="P22" s="19"/>
      <c r="Q22" s="16"/>
      <c r="R22" s="7"/>
      <c r="S22" s="23"/>
      <c r="T22" s="21"/>
    </row>
    <row r="23" spans="2:20">
      <c r="B23" s="3">
        <v>2</v>
      </c>
      <c r="C23" s="4" t="s">
        <v>99</v>
      </c>
      <c r="D23" s="22" t="s">
        <v>106</v>
      </c>
      <c r="E23" s="4" t="s">
        <v>14</v>
      </c>
      <c r="F23" s="21">
        <v>41351</v>
      </c>
      <c r="G23" s="21"/>
      <c r="H23" s="4"/>
      <c r="I23" s="4"/>
      <c r="J23" s="4"/>
      <c r="K23" s="22"/>
      <c r="L23" s="4"/>
      <c r="M23" s="4"/>
      <c r="N23" s="19"/>
      <c r="O23" s="7"/>
      <c r="P23" s="19"/>
      <c r="Q23" s="16"/>
      <c r="R23" s="7"/>
      <c r="S23" s="23"/>
      <c r="T23" s="21"/>
    </row>
    <row r="24" spans="2:20">
      <c r="B24" s="3">
        <v>3</v>
      </c>
      <c r="C24" s="4" t="s">
        <v>101</v>
      </c>
      <c r="D24" s="22" t="s">
        <v>105</v>
      </c>
      <c r="E24" s="30" t="s">
        <v>90</v>
      </c>
      <c r="F24" s="21">
        <v>41367</v>
      </c>
      <c r="G24" s="21"/>
      <c r="H24" s="4"/>
      <c r="I24" s="4"/>
      <c r="J24" s="4"/>
      <c r="K24" s="22"/>
      <c r="L24" s="4"/>
      <c r="M24" s="4"/>
      <c r="N24" s="19"/>
      <c r="O24" s="7"/>
      <c r="P24" s="19"/>
      <c r="Q24" s="16"/>
      <c r="R24" s="7"/>
      <c r="S24" s="23"/>
      <c r="T24" s="21"/>
    </row>
    <row r="25" spans="2:20">
      <c r="B25" s="3">
        <v>4</v>
      </c>
      <c r="C25" s="4" t="s">
        <v>103</v>
      </c>
      <c r="D25" s="22" t="s">
        <v>105</v>
      </c>
      <c r="E25" s="30" t="s">
        <v>91</v>
      </c>
      <c r="F25" s="21">
        <v>41285</v>
      </c>
      <c r="G25" s="21"/>
      <c r="H25" s="4"/>
      <c r="I25" s="4"/>
      <c r="J25" s="4"/>
      <c r="K25" s="22"/>
      <c r="L25" s="4"/>
      <c r="M25" s="4"/>
      <c r="N25" s="19"/>
      <c r="O25" s="7"/>
      <c r="P25" s="19"/>
      <c r="Q25" s="16"/>
      <c r="R25" s="7"/>
      <c r="S25" s="23"/>
      <c r="T25" s="21"/>
    </row>
    <row r="26" spans="2:20">
      <c r="B26" s="3">
        <v>5</v>
      </c>
      <c r="C26" s="4" t="s">
        <v>100</v>
      </c>
      <c r="D26" s="22" t="s">
        <v>105</v>
      </c>
      <c r="E26" s="30" t="s">
        <v>93</v>
      </c>
      <c r="F26" s="21">
        <v>41361</v>
      </c>
      <c r="G26" s="21"/>
      <c r="H26" s="4"/>
      <c r="I26" s="4"/>
      <c r="J26" s="4"/>
      <c r="K26" s="22"/>
      <c r="L26" s="4"/>
      <c r="M26" s="4"/>
      <c r="N26" s="19"/>
      <c r="O26" s="7"/>
      <c r="P26" s="19"/>
      <c r="Q26" s="16"/>
      <c r="R26" s="7"/>
      <c r="S26" s="23"/>
      <c r="T26" s="21"/>
    </row>
    <row r="27" spans="2:20">
      <c r="B27" s="3">
        <v>6</v>
      </c>
      <c r="C27" s="4" t="s">
        <v>104</v>
      </c>
      <c r="D27" s="22" t="s">
        <v>97</v>
      </c>
      <c r="E27" s="30" t="s">
        <v>94</v>
      </c>
      <c r="F27" s="21">
        <v>41273</v>
      </c>
      <c r="G27" s="21"/>
      <c r="H27" s="4"/>
      <c r="I27" s="4"/>
      <c r="J27" s="4"/>
      <c r="K27" s="22"/>
      <c r="L27" s="4"/>
      <c r="M27" s="4"/>
      <c r="N27" s="19"/>
      <c r="O27" s="7"/>
      <c r="P27" s="19"/>
      <c r="Q27" s="16"/>
      <c r="R27" s="7"/>
      <c r="S27" s="23"/>
      <c r="T27" s="21"/>
    </row>
    <row r="28" spans="2:20">
      <c r="B28" s="3"/>
      <c r="C28" s="4"/>
      <c r="D28" s="4"/>
      <c r="E28" s="30"/>
      <c r="F28" s="21"/>
      <c r="G28" s="21"/>
      <c r="H28" s="4"/>
      <c r="I28" s="4"/>
      <c r="J28" s="4"/>
      <c r="K28" s="22"/>
      <c r="L28" s="4"/>
      <c r="M28" s="4"/>
      <c r="N28" s="19"/>
      <c r="O28" s="7"/>
      <c r="P28" s="19"/>
      <c r="Q28" s="16"/>
      <c r="R28" s="7"/>
      <c r="S28" s="23"/>
      <c r="T28" s="21"/>
    </row>
    <row r="29" spans="2:20">
      <c r="B29" s="3">
        <v>7</v>
      </c>
      <c r="C29" s="4" t="s">
        <v>102</v>
      </c>
      <c r="D29" s="22" t="s">
        <v>96</v>
      </c>
      <c r="E29" s="30" t="s">
        <v>95</v>
      </c>
      <c r="F29" s="21">
        <v>41253</v>
      </c>
      <c r="G29" s="21"/>
      <c r="H29" s="4"/>
      <c r="I29" s="4"/>
      <c r="J29" s="4"/>
      <c r="K29" s="22"/>
      <c r="L29" s="4"/>
      <c r="M29" s="4"/>
      <c r="N29" s="19"/>
      <c r="O29" s="7"/>
      <c r="P29" s="19"/>
      <c r="Q29" s="16"/>
      <c r="R29" s="7"/>
      <c r="S29" s="23"/>
      <c r="T29" s="21"/>
    </row>
    <row r="30" spans="2:20">
      <c r="B30" s="3"/>
      <c r="C30" s="4"/>
      <c r="D30" s="4"/>
      <c r="E30" s="30"/>
      <c r="F30" s="21"/>
      <c r="G30" s="21"/>
      <c r="H30" s="4"/>
      <c r="I30" s="4"/>
      <c r="J30" s="4"/>
      <c r="K30" s="22"/>
      <c r="L30" s="4"/>
      <c r="M30" s="4"/>
      <c r="N30" s="19"/>
      <c r="O30" s="7"/>
      <c r="P30" s="19"/>
      <c r="Q30" s="16"/>
      <c r="R30" s="7"/>
      <c r="S30" s="23"/>
      <c r="T30" s="21"/>
    </row>
    <row r="31" spans="2:20" ht="45">
      <c r="B31" s="3">
        <v>10</v>
      </c>
      <c r="C31" s="4" t="s">
        <v>86</v>
      </c>
      <c r="D31" s="4"/>
      <c r="E31" s="30"/>
      <c r="F31" s="21">
        <v>41229</v>
      </c>
      <c r="G31" s="21">
        <v>41593</v>
      </c>
      <c r="H31" s="4" t="s">
        <v>15</v>
      </c>
      <c r="I31" s="4" t="s">
        <v>16</v>
      </c>
      <c r="J31" s="4"/>
      <c r="K31" s="22" t="s">
        <v>62</v>
      </c>
      <c r="L31" s="4"/>
      <c r="M31" s="4" t="s">
        <v>35</v>
      </c>
      <c r="N31" s="19">
        <v>34988</v>
      </c>
      <c r="O31" s="7" t="s">
        <v>87</v>
      </c>
      <c r="P31" s="19">
        <v>34988</v>
      </c>
      <c r="Q31" s="16">
        <f>P31*0.1605</f>
        <v>5615.5740000000005</v>
      </c>
      <c r="R31" s="7" t="s">
        <v>87</v>
      </c>
      <c r="S31" s="23" t="s">
        <v>88</v>
      </c>
      <c r="T31" s="21">
        <v>41229</v>
      </c>
    </row>
    <row r="32" spans="2:20">
      <c r="B32" s="24"/>
      <c r="C32" s="25"/>
      <c r="D32" s="25"/>
      <c r="E32" s="25"/>
      <c r="F32" s="26"/>
      <c r="G32" s="26"/>
      <c r="H32" s="25"/>
      <c r="I32" s="25"/>
      <c r="J32" s="25"/>
      <c r="K32" s="25"/>
      <c r="L32" s="25"/>
      <c r="M32" s="25"/>
      <c r="N32" s="27"/>
      <c r="O32" s="28"/>
      <c r="P32" s="29" t="s">
        <v>81</v>
      </c>
      <c r="Q32" s="27">
        <f>SUM(Q4:Q31)</f>
        <v>43882.698500000006</v>
      </c>
      <c r="R32" s="25"/>
      <c r="S32" s="25"/>
      <c r="T32" s="25"/>
    </row>
  </sheetData>
  <mergeCells count="5">
    <mergeCell ref="B2:B3"/>
    <mergeCell ref="C2:L2"/>
    <mergeCell ref="M2:T2"/>
    <mergeCell ref="S13:S14"/>
    <mergeCell ref="T13:T14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合同管理</vt:lpstr>
      <vt:lpstr>合同管理 (2)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Jula</dc:creator>
  <cp:lastModifiedBy>assure</cp:lastModifiedBy>
  <cp:lastPrinted>2012-11-05T03:47:11Z</cp:lastPrinted>
  <dcterms:created xsi:type="dcterms:W3CDTF">2012-11-05T02:51:54Z</dcterms:created>
  <dcterms:modified xsi:type="dcterms:W3CDTF">2013-04-17T11:30:08Z</dcterms:modified>
</cp:coreProperties>
</file>